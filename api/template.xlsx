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289\Downloads\"/>
    </mc:Choice>
  </mc:AlternateContent>
  <xr:revisionPtr revIDLastSave="0" documentId="13_ncr:1_{472E026D-9D0B-462B-AFA7-BE8AC2253AF0}" xr6:coauthVersionLast="47" xr6:coauthVersionMax="47" xr10:uidLastSave="{00000000-0000-0000-0000-000000000000}"/>
  <bookViews>
    <workbookView xWindow="-108" yWindow="-108" windowWidth="23256" windowHeight="13896" firstSheet="4" activeTab="4" xr2:uid="{00000000-000D-0000-FFFF-FFFF00000000}"/>
  </bookViews>
  <sheets>
    <sheet name="貼り付け用" sheetId="1" state="hidden" r:id="rId1"/>
    <sheet name="子どもマスタ" sheetId="2" state="hidden" r:id="rId2"/>
    <sheet name="まとめ（登園）" sheetId="3" state="hidden" r:id="rId3"/>
    <sheet name="まとめ（降園）" sheetId="4" state="hidden" r:id="rId4"/>
    <sheet name="CSVフォーム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 a="1"/>
  <c r="A2" i="5" s="1"/>
  <c r="B2" i="5" s="1"/>
  <c r="A300" i="5" a="1"/>
  <c r="A300" i="5" s="1"/>
  <c r="A299" i="5" a="1"/>
  <c r="A299" i="5" s="1"/>
  <c r="A298" i="5" a="1"/>
  <c r="A298" i="5" s="1"/>
  <c r="A297" i="5" a="1"/>
  <c r="A297" i="5" s="1"/>
  <c r="A296" i="5" a="1"/>
  <c r="A296" i="5" s="1"/>
  <c r="B296" i="5" s="1"/>
  <c r="A295" i="5" a="1"/>
  <c r="A295" i="5" s="1"/>
  <c r="A294" i="5" a="1"/>
  <c r="A294" i="5" s="1"/>
  <c r="A293" i="5" a="1"/>
  <c r="A293" i="5" s="1"/>
  <c r="A292" i="5" a="1"/>
  <c r="A292" i="5" s="1"/>
  <c r="I292" i="5" s="1"/>
  <c r="A291" i="5" a="1"/>
  <c r="A291" i="5" s="1"/>
  <c r="A290" i="5" a="1"/>
  <c r="A290" i="5" s="1"/>
  <c r="A289" i="5" a="1"/>
  <c r="A289" i="5" s="1"/>
  <c r="A288" i="5" a="1"/>
  <c r="A288" i="5" s="1"/>
  <c r="A287" i="5" a="1"/>
  <c r="A287" i="5" s="1"/>
  <c r="F287" i="5" s="1"/>
  <c r="A286" i="5" a="1"/>
  <c r="A286" i="5" s="1"/>
  <c r="A285" i="5" a="1"/>
  <c r="A285" i="5"/>
  <c r="B285" i="5" s="1"/>
  <c r="A284" i="5" a="1"/>
  <c r="A284" i="5" s="1"/>
  <c r="I284" i="5" s="1"/>
  <c r="A283" i="5" a="1"/>
  <c r="A283" i="5" s="1"/>
  <c r="A282" i="5" a="1"/>
  <c r="A282" i="5" s="1"/>
  <c r="A281" i="5" a="1"/>
  <c r="A281" i="5" s="1"/>
  <c r="A280" i="5" a="1"/>
  <c r="A280" i="5" s="1"/>
  <c r="A279" i="5" a="1"/>
  <c r="A279" i="5" s="1"/>
  <c r="F279" i="5" s="1"/>
  <c r="A278" i="5" a="1"/>
  <c r="A278" i="5" s="1"/>
  <c r="A277" i="5" a="1"/>
  <c r="A277" i="5"/>
  <c r="B277" i="5" s="1"/>
  <c r="B276" i="5"/>
  <c r="A276" i="5" a="1"/>
  <c r="A276" i="5" s="1"/>
  <c r="I276" i="5" s="1"/>
  <c r="A275" i="5" a="1"/>
  <c r="A275" i="5" s="1"/>
  <c r="A274" i="5" a="1"/>
  <c r="A274" i="5" s="1"/>
  <c r="A273" i="5" a="1"/>
  <c r="A273" i="5" s="1"/>
  <c r="A272" i="5" a="1"/>
  <c r="A272" i="5" s="1"/>
  <c r="A271" i="5" a="1"/>
  <c r="A271" i="5"/>
  <c r="F271" i="5" s="1"/>
  <c r="A270" i="5" a="1"/>
  <c r="A270" i="5" s="1"/>
  <c r="B270" i="5" s="1"/>
  <c r="A269" i="5" a="1"/>
  <c r="A269" i="5"/>
  <c r="I269" i="5" s="1"/>
  <c r="A268" i="5" a="1"/>
  <c r="A268" i="5" s="1"/>
  <c r="I268" i="5" s="1"/>
  <c r="A267" i="5" a="1"/>
  <c r="A267" i="5" s="1"/>
  <c r="A266" i="5" a="1"/>
  <c r="A266" i="5" s="1"/>
  <c r="A265" i="5" a="1"/>
  <c r="A265" i="5" s="1"/>
  <c r="A264" i="5" a="1"/>
  <c r="A264" i="5" s="1"/>
  <c r="A263" i="5" a="1"/>
  <c r="A263" i="5"/>
  <c r="F263" i="5" s="1"/>
  <c r="A262" i="5" a="1"/>
  <c r="A262" i="5" s="1"/>
  <c r="A261" i="5" a="1"/>
  <c r="A261" i="5" s="1"/>
  <c r="I261" i="5" s="1"/>
  <c r="A260" i="5" a="1"/>
  <c r="A260" i="5" s="1"/>
  <c r="I260" i="5" s="1"/>
  <c r="A259" i="5" a="1"/>
  <c r="A259" i="5" s="1"/>
  <c r="A258" i="5" a="1"/>
  <c r="A258" i="5" s="1"/>
  <c r="A257" i="5" a="1"/>
  <c r="A257" i="5" s="1"/>
  <c r="A256" i="5" a="1"/>
  <c r="A256" i="5" s="1"/>
  <c r="A255" i="5" a="1"/>
  <c r="A255" i="5"/>
  <c r="F255" i="5" s="1"/>
  <c r="A254" i="5" a="1"/>
  <c r="A254" i="5" s="1"/>
  <c r="B254" i="5" s="1"/>
  <c r="A253" i="5" a="1"/>
  <c r="A253" i="5" s="1"/>
  <c r="A252" i="5" a="1"/>
  <c r="A252" i="5" s="1"/>
  <c r="I252" i="5" s="1"/>
  <c r="A251" i="5" a="1"/>
  <c r="A251" i="5" s="1"/>
  <c r="F251" i="5" s="1"/>
  <c r="A250" i="5" a="1"/>
  <c r="A250" i="5" s="1"/>
  <c r="C250" i="5" s="1"/>
  <c r="A249" i="5" a="1"/>
  <c r="A249" i="5" s="1"/>
  <c r="A248" i="5" a="1"/>
  <c r="A248" i="5" s="1"/>
  <c r="I248" i="5" s="1"/>
  <c r="A247" i="5" a="1"/>
  <c r="A247" i="5" s="1"/>
  <c r="F247" i="5" s="1"/>
  <c r="A246" i="5" a="1"/>
  <c r="A246" i="5" s="1"/>
  <c r="B246" i="5" s="1"/>
  <c r="A245" i="5" a="1"/>
  <c r="A245" i="5" s="1"/>
  <c r="A244" i="5" a="1"/>
  <c r="A244" i="5" s="1"/>
  <c r="I244" i="5" s="1"/>
  <c r="A243" i="5" a="1"/>
  <c r="A243" i="5" s="1"/>
  <c r="A242" i="5" a="1"/>
  <c r="A242" i="5" s="1"/>
  <c r="C242" i="5" s="1"/>
  <c r="A241" i="5" a="1"/>
  <c r="A241" i="5" s="1"/>
  <c r="I241" i="5" s="1"/>
  <c r="A240" i="5" a="1"/>
  <c r="A240" i="5" s="1"/>
  <c r="I240" i="5" s="1"/>
  <c r="A239" i="5" a="1"/>
  <c r="A239" i="5"/>
  <c r="I239" i="5" s="1"/>
  <c r="A238" i="5" a="1"/>
  <c r="A238" i="5" s="1"/>
  <c r="B238" i="5" s="1"/>
  <c r="A237" i="5" a="1"/>
  <c r="A237" i="5" s="1"/>
  <c r="A236" i="5" a="1"/>
  <c r="A236" i="5" s="1"/>
  <c r="I236" i="5" s="1"/>
  <c r="A235" i="5" a="1"/>
  <c r="A235" i="5" s="1"/>
  <c r="A234" i="5" a="1"/>
  <c r="A234" i="5" s="1"/>
  <c r="B234" i="5" s="1"/>
  <c r="A233" i="5" a="1"/>
  <c r="A233" i="5" s="1"/>
  <c r="A232" i="5" a="1"/>
  <c r="A232" i="5" s="1"/>
  <c r="H232" i="5" s="1"/>
  <c r="A231" i="5" a="1"/>
  <c r="A231" i="5" s="1"/>
  <c r="A230" i="5" a="1"/>
  <c r="A230" i="5" s="1"/>
  <c r="B230" i="5" s="1"/>
  <c r="A229" i="5" a="1"/>
  <c r="A229" i="5"/>
  <c r="I229" i="5" s="1"/>
  <c r="A228" i="5" a="1"/>
  <c r="A228" i="5" s="1"/>
  <c r="I228" i="5" s="1"/>
  <c r="A227" i="5" a="1"/>
  <c r="A227" i="5" s="1"/>
  <c r="A226" i="5" a="1"/>
  <c r="A226" i="5" s="1"/>
  <c r="A225" i="5" a="1"/>
  <c r="A225" i="5" s="1"/>
  <c r="A224" i="5" a="1"/>
  <c r="A224" i="5" s="1"/>
  <c r="A223" i="5" a="1"/>
  <c r="A223" i="5" s="1"/>
  <c r="A222" i="5" a="1"/>
  <c r="A222" i="5" s="1"/>
  <c r="B222" i="5" s="1"/>
  <c r="A221" i="5" a="1"/>
  <c r="A221" i="5" s="1"/>
  <c r="A220" i="5" a="1"/>
  <c r="A220" i="5" s="1"/>
  <c r="I220" i="5" s="1"/>
  <c r="A219" i="5" a="1"/>
  <c r="A219" i="5" s="1"/>
  <c r="C219" i="5" s="1"/>
  <c r="A218" i="5" a="1"/>
  <c r="A218" i="5" s="1"/>
  <c r="A217" i="5" a="1"/>
  <c r="A217" i="5" s="1"/>
  <c r="A216" i="5" a="1"/>
  <c r="A216" i="5" s="1"/>
  <c r="A215" i="5" a="1"/>
  <c r="A215" i="5" s="1"/>
  <c r="A214" i="5" a="1"/>
  <c r="A214" i="5" s="1"/>
  <c r="A213" i="5" a="1"/>
  <c r="A213" i="5" s="1"/>
  <c r="A212" i="5" a="1"/>
  <c r="A212" i="5" s="1"/>
  <c r="A211" i="5" a="1"/>
  <c r="A211" i="5" s="1"/>
  <c r="A210" i="5" a="1"/>
  <c r="A210" i="5" s="1"/>
  <c r="A209" i="5" a="1"/>
  <c r="A209" i="5" s="1"/>
  <c r="B209" i="5" s="1"/>
  <c r="A208" i="5" a="1"/>
  <c r="A208" i="5" s="1"/>
  <c r="A207" i="5" a="1"/>
  <c r="A207" i="5" s="1"/>
  <c r="A206" i="5" a="1"/>
  <c r="A206" i="5" s="1"/>
  <c r="A205" i="5" a="1"/>
  <c r="A205" i="5" s="1"/>
  <c r="A204" i="5" a="1"/>
  <c r="A204" i="5" s="1"/>
  <c r="F204" i="5" s="1"/>
  <c r="H204" i="5" s="1"/>
  <c r="A203" i="5" a="1"/>
  <c r="A203" i="5"/>
  <c r="A202" i="5" a="1"/>
  <c r="A202" i="5" s="1"/>
  <c r="A201" i="5" a="1"/>
  <c r="A201" i="5" s="1"/>
  <c r="B201" i="5" s="1"/>
  <c r="A200" i="5" a="1"/>
  <c r="A200" i="5" s="1"/>
  <c r="A199" i="5" a="1"/>
  <c r="A199" i="5" s="1"/>
  <c r="A198" i="5" a="1"/>
  <c r="A198" i="5" s="1"/>
  <c r="A197" i="5" a="1"/>
  <c r="A197" i="5" s="1"/>
  <c r="A196" i="5" a="1"/>
  <c r="A196" i="5" s="1"/>
  <c r="C196" i="5" s="1"/>
  <c r="A195" i="5" a="1"/>
  <c r="A195" i="5" s="1"/>
  <c r="F195" i="5" s="1"/>
  <c r="A194" i="5" a="1"/>
  <c r="A194" i="5"/>
  <c r="C194" i="5" s="1"/>
  <c r="A193" i="5" a="1"/>
  <c r="A193" i="5" s="1"/>
  <c r="A192" i="5" a="1"/>
  <c r="A192" i="5" s="1"/>
  <c r="A191" i="5" a="1"/>
  <c r="A191" i="5" s="1"/>
  <c r="C191" i="5" s="1"/>
  <c r="A190" i="5" a="1"/>
  <c r="A190" i="5"/>
  <c r="A189" i="5" a="1"/>
  <c r="A189" i="5" s="1"/>
  <c r="C189" i="5" s="1"/>
  <c r="A188" i="5" a="1"/>
  <c r="A188" i="5" s="1"/>
  <c r="F188" i="5" s="1"/>
  <c r="A187" i="5" a="1"/>
  <c r="A187" i="5"/>
  <c r="A186" i="5" a="1"/>
  <c r="A186" i="5" s="1"/>
  <c r="C186" i="5" s="1"/>
  <c r="A185" i="5" a="1"/>
  <c r="A185" i="5" s="1"/>
  <c r="B185" i="5" s="1"/>
  <c r="A184" i="5" a="1"/>
  <c r="A184" i="5" s="1"/>
  <c r="A183" i="5" a="1"/>
  <c r="A183" i="5" s="1"/>
  <c r="A182" i="5" a="1"/>
  <c r="A182" i="5" s="1"/>
  <c r="A181" i="5" a="1"/>
  <c r="A181" i="5"/>
  <c r="A180" i="5" a="1"/>
  <c r="A180" i="5" s="1"/>
  <c r="C180" i="5" s="1"/>
  <c r="A179" i="5" a="1"/>
  <c r="A179" i="5" s="1"/>
  <c r="H179" i="5" s="1"/>
  <c r="A178" i="5" a="1"/>
  <c r="A178" i="5"/>
  <c r="I178" i="5" s="1"/>
  <c r="A177" i="5" a="1"/>
  <c r="A177" i="5" s="1"/>
  <c r="F177" i="5" s="1"/>
  <c r="A176" i="5" a="1"/>
  <c r="A176" i="5" s="1"/>
  <c r="A175" i="5" a="1"/>
  <c r="A175" i="5" s="1"/>
  <c r="F175" i="5" s="1"/>
  <c r="H175" i="5" s="1"/>
  <c r="A174" i="5" a="1"/>
  <c r="A174" i="5" s="1"/>
  <c r="A173" i="5" a="1"/>
  <c r="A173" i="5" s="1"/>
  <c r="A172" i="5" a="1"/>
  <c r="A172" i="5" s="1"/>
  <c r="F172" i="5" s="1"/>
  <c r="A171" i="5" a="1"/>
  <c r="A171" i="5" s="1"/>
  <c r="B171" i="5" s="1"/>
  <c r="A170" i="5" a="1"/>
  <c r="A170" i="5" s="1"/>
  <c r="A169" i="5" a="1"/>
  <c r="A169" i="5" s="1"/>
  <c r="A168" i="5" a="1"/>
  <c r="A168" i="5" s="1"/>
  <c r="A167" i="5" a="1"/>
  <c r="A167" i="5" s="1"/>
  <c r="F167" i="5" s="1"/>
  <c r="A166" i="5" a="1"/>
  <c r="A166" i="5" s="1"/>
  <c r="C166" i="5" s="1"/>
  <c r="A165" i="5" a="1"/>
  <c r="A165" i="5" s="1"/>
  <c r="A164" i="5" a="1"/>
  <c r="A164" i="5" s="1"/>
  <c r="F164" i="5" s="1"/>
  <c r="A163" i="5" a="1"/>
  <c r="A163" i="5"/>
  <c r="A162" i="5" a="1"/>
  <c r="A162" i="5" s="1"/>
  <c r="A161" i="5" a="1"/>
  <c r="A161" i="5" s="1"/>
  <c r="A160" i="5" a="1"/>
  <c r="A160" i="5" s="1"/>
  <c r="C160" i="5" s="1"/>
  <c r="A159" i="5" a="1"/>
  <c r="A159" i="5" s="1"/>
  <c r="A158" i="5" a="1"/>
  <c r="A158" i="5" s="1"/>
  <c r="A157" i="5" a="1"/>
  <c r="A157" i="5" s="1"/>
  <c r="F157" i="5" s="1"/>
  <c r="A156" i="5" a="1"/>
  <c r="A156" i="5" s="1"/>
  <c r="F156" i="5" s="1"/>
  <c r="A155" i="5" a="1"/>
  <c r="A155" i="5" s="1"/>
  <c r="A154" i="5" a="1"/>
  <c r="A154" i="5"/>
  <c r="C154" i="5" s="1"/>
  <c r="A153" i="5" a="1"/>
  <c r="A153" i="5" s="1"/>
  <c r="B152" i="5"/>
  <c r="A152" i="5" a="1"/>
  <c r="A152" i="5" s="1"/>
  <c r="F152" i="5" s="1"/>
  <c r="A151" i="5" a="1"/>
  <c r="A151" i="5" s="1"/>
  <c r="F151" i="5" s="1"/>
  <c r="A150" i="5" a="1"/>
  <c r="A150" i="5" s="1"/>
  <c r="A149" i="5" a="1"/>
  <c r="A149" i="5" s="1"/>
  <c r="A148" i="5" a="1"/>
  <c r="A148" i="5" s="1"/>
  <c r="A147" i="5" a="1"/>
  <c r="A147" i="5" s="1"/>
  <c r="A146" i="5" a="1"/>
  <c r="A146" i="5" s="1"/>
  <c r="I145" i="5"/>
  <c r="A145" i="5" a="1"/>
  <c r="A145" i="5" s="1"/>
  <c r="F145" i="5" s="1"/>
  <c r="A144" i="5" a="1"/>
  <c r="A144" i="5" s="1"/>
  <c r="C144" i="5" s="1"/>
  <c r="A143" i="5" a="1"/>
  <c r="A143" i="5" s="1"/>
  <c r="F143" i="5" s="1"/>
  <c r="A142" i="5" a="1"/>
  <c r="A142" i="5" s="1"/>
  <c r="B142" i="5" s="1"/>
  <c r="A141" i="5" a="1"/>
  <c r="A141" i="5" s="1"/>
  <c r="B141" i="5" s="1"/>
  <c r="A140" i="5" a="1"/>
  <c r="A140" i="5" s="1"/>
  <c r="A139" i="5" a="1"/>
  <c r="A139" i="5" s="1"/>
  <c r="B139" i="5" s="1"/>
  <c r="A138" i="5" a="1"/>
  <c r="A138" i="5"/>
  <c r="A137" i="5" a="1"/>
  <c r="A137" i="5" s="1"/>
  <c r="A136" i="5" a="1"/>
  <c r="A136" i="5" s="1"/>
  <c r="C136" i="5" s="1"/>
  <c r="A135" i="5" a="1"/>
  <c r="A135" i="5" s="1"/>
  <c r="F135" i="5" s="1"/>
  <c r="A134" i="5" a="1"/>
  <c r="A134" i="5" s="1"/>
  <c r="F134" i="5" s="1"/>
  <c r="A133" i="5" a="1"/>
  <c r="A133" i="5" s="1"/>
  <c r="A132" i="5" a="1"/>
  <c r="A132" i="5" s="1"/>
  <c r="F132" i="5" s="1"/>
  <c r="A131" i="5" a="1"/>
  <c r="A131" i="5"/>
  <c r="H131" i="5" s="1"/>
  <c r="A130" i="5" a="1"/>
  <c r="A130" i="5" s="1"/>
  <c r="A129" i="5" a="1"/>
  <c r="A129" i="5" s="1"/>
  <c r="C129" i="5" s="1"/>
  <c r="A128" i="5" a="1"/>
  <c r="A128" i="5" s="1"/>
  <c r="C128" i="5" s="1"/>
  <c r="A127" i="5" a="1"/>
  <c r="A127" i="5" s="1"/>
  <c r="A126" i="5" a="1"/>
  <c r="A126" i="5" s="1"/>
  <c r="A125" i="5" a="1"/>
  <c r="A125" i="5" s="1"/>
  <c r="F125" i="5" s="1"/>
  <c r="A124" i="5" a="1"/>
  <c r="A124" i="5"/>
  <c r="F124" i="5" s="1"/>
  <c r="I124" i="5" s="1"/>
  <c r="A123" i="5" a="1"/>
  <c r="A123" i="5" s="1"/>
  <c r="C123" i="5" s="1"/>
  <c r="A122" i="5" a="1"/>
  <c r="A122" i="5" s="1"/>
  <c r="F122" i="5" s="1"/>
  <c r="I122" i="5" s="1"/>
  <c r="A121" i="5" a="1"/>
  <c r="A121" i="5" s="1"/>
  <c r="H121" i="5" s="1"/>
  <c r="A120" i="5" a="1"/>
  <c r="A120" i="5" s="1"/>
  <c r="A119" i="5" a="1"/>
  <c r="A119" i="5" s="1"/>
  <c r="F119" i="5" s="1"/>
  <c r="A118" i="5" a="1"/>
  <c r="A118" i="5" s="1"/>
  <c r="C118" i="5" s="1"/>
  <c r="A117" i="5" a="1"/>
  <c r="A117" i="5"/>
  <c r="A116" i="5" a="1"/>
  <c r="A116" i="5" s="1"/>
  <c r="A115" i="5" a="1"/>
  <c r="A115" i="5" s="1"/>
  <c r="H115" i="5" s="1"/>
  <c r="A114" i="5" a="1"/>
  <c r="A114" i="5"/>
  <c r="I114" i="5" s="1"/>
  <c r="A113" i="5" a="1"/>
  <c r="A113" i="5" s="1"/>
  <c r="F113" i="5" s="1"/>
  <c r="A112" i="5" a="1"/>
  <c r="A112" i="5" s="1"/>
  <c r="A111" i="5" a="1"/>
  <c r="A111" i="5" s="1"/>
  <c r="F111" i="5" s="1"/>
  <c r="H111" i="5" s="1"/>
  <c r="A110" i="5" a="1"/>
  <c r="A110" i="5" s="1"/>
  <c r="A109" i="5" a="1"/>
  <c r="A109" i="5" s="1"/>
  <c r="B109" i="5" s="1"/>
  <c r="A108" i="5" a="1"/>
  <c r="A108" i="5" s="1"/>
  <c r="A107" i="5" a="1"/>
  <c r="A107" i="5" s="1"/>
  <c r="B107" i="5" s="1"/>
  <c r="A106" i="5" a="1"/>
  <c r="A106" i="5" s="1"/>
  <c r="C106" i="5" s="1"/>
  <c r="A105" i="5" a="1"/>
  <c r="A105" i="5" s="1"/>
  <c r="C105" i="5" s="1"/>
  <c r="A104" i="5" a="1"/>
  <c r="A104" i="5" s="1"/>
  <c r="A103" i="5" a="1"/>
  <c r="A103" i="5" s="1"/>
  <c r="A102" i="5" a="1"/>
  <c r="A102" i="5" s="1"/>
  <c r="F102" i="5" s="1"/>
  <c r="C101" i="5"/>
  <c r="A101" i="5" a="1"/>
  <c r="A101" i="5" s="1"/>
  <c r="A100" i="5" a="1"/>
  <c r="A100" i="5" s="1"/>
  <c r="F100" i="5" s="1"/>
  <c r="A99" i="5" a="1"/>
  <c r="A99" i="5" s="1"/>
  <c r="A98" i="5" a="1"/>
  <c r="A98" i="5" s="1"/>
  <c r="A97" i="5" a="1"/>
  <c r="A97" i="5" s="1"/>
  <c r="A96" i="5" a="1"/>
  <c r="A96" i="5" s="1"/>
  <c r="A95" i="5" a="1"/>
  <c r="A95" i="5" s="1"/>
  <c r="A94" i="5" a="1"/>
  <c r="A94" i="5" s="1"/>
  <c r="F94" i="5" s="1"/>
  <c r="A93" i="5" a="1"/>
  <c r="A93" i="5" s="1"/>
  <c r="A92" i="5" a="1"/>
  <c r="A92" i="5" s="1"/>
  <c r="C92" i="5" s="1"/>
  <c r="A91" i="5" a="1"/>
  <c r="A91" i="5" s="1"/>
  <c r="B90" i="5"/>
  <c r="A90" i="5" a="1"/>
  <c r="A90" i="5" s="1"/>
  <c r="A89" i="5" a="1"/>
  <c r="A89" i="5" s="1"/>
  <c r="A88" i="5" a="1"/>
  <c r="A88" i="5"/>
  <c r="C88" i="5" s="1"/>
  <c r="A87" i="5" a="1"/>
  <c r="A87" i="5" s="1"/>
  <c r="A86" i="5" a="1"/>
  <c r="A86" i="5" s="1"/>
  <c r="A85" i="5" a="1"/>
  <c r="A85" i="5" s="1"/>
  <c r="A84" i="5" a="1"/>
  <c r="A84" i="5" s="1"/>
  <c r="A83" i="5" a="1"/>
  <c r="A83" i="5" s="1"/>
  <c r="A82" i="5" a="1"/>
  <c r="A82" i="5" s="1"/>
  <c r="B82" i="5" s="1"/>
  <c r="A81" i="5" a="1"/>
  <c r="A81" i="5" s="1"/>
  <c r="A80" i="5" a="1"/>
  <c r="A80" i="5"/>
  <c r="C80" i="5" s="1"/>
  <c r="A79" i="5" a="1"/>
  <c r="A79" i="5" s="1"/>
  <c r="A78" i="5" a="1"/>
  <c r="A78" i="5" s="1"/>
  <c r="A77" i="5" a="1"/>
  <c r="A77" i="5" s="1"/>
  <c r="B77" i="5" s="1"/>
  <c r="A76" i="5" a="1"/>
  <c r="A76" i="5" s="1"/>
  <c r="A75" i="5" a="1"/>
  <c r="A75" i="5" s="1"/>
  <c r="C75" i="5" s="1"/>
  <c r="A74" i="5" a="1"/>
  <c r="A74" i="5" s="1"/>
  <c r="B74" i="5" s="1"/>
  <c r="A73" i="5" a="1"/>
  <c r="A73" i="5" s="1"/>
  <c r="F73" i="5" s="1"/>
  <c r="A72" i="5" a="1"/>
  <c r="A72" i="5"/>
  <c r="B72" i="5" s="1"/>
  <c r="A71" i="5" a="1"/>
  <c r="A71" i="5" s="1"/>
  <c r="A70" i="5" a="1"/>
  <c r="A70" i="5" s="1"/>
  <c r="C70" i="5" s="1"/>
  <c r="A69" i="5" a="1"/>
  <c r="A69" i="5" s="1"/>
  <c r="B69" i="5" s="1"/>
  <c r="A68" i="5" a="1"/>
  <c r="A68" i="5" s="1"/>
  <c r="A67" i="5" a="1"/>
  <c r="A67" i="5" s="1"/>
  <c r="B67" i="5" s="1"/>
  <c r="A66" i="5" a="1"/>
  <c r="A66" i="5" s="1"/>
  <c r="B66" i="5" s="1"/>
  <c r="A65" i="5" a="1"/>
  <c r="A65" i="5" s="1"/>
  <c r="C65" i="5" s="1"/>
  <c r="A64" i="5" a="1"/>
  <c r="A64" i="5" s="1"/>
  <c r="A63" i="5" a="1"/>
  <c r="A63" i="5" s="1"/>
  <c r="F63" i="5" s="1"/>
  <c r="A62" i="5" a="1"/>
  <c r="A62" i="5" s="1"/>
  <c r="A61" i="5" a="1"/>
  <c r="A61" i="5" s="1"/>
  <c r="A60" i="5" a="1"/>
  <c r="A60" i="5" s="1"/>
  <c r="B60" i="5" s="1"/>
  <c r="A59" i="5" a="1"/>
  <c r="A59" i="5"/>
  <c r="A58" i="5" a="1"/>
  <c r="A58" i="5" s="1"/>
  <c r="F58" i="5" s="1"/>
  <c r="A57" i="5" a="1"/>
  <c r="A57" i="5" s="1"/>
  <c r="A56" i="5" a="1"/>
  <c r="A56" i="5" s="1"/>
  <c r="A55" i="5" a="1"/>
  <c r="A55" i="5" s="1"/>
  <c r="A54" i="5" a="1"/>
  <c r="A54" i="5" s="1"/>
  <c r="C54" i="5" s="1"/>
  <c r="A53" i="5" a="1"/>
  <c r="A53" i="5" s="1"/>
  <c r="F52" i="5"/>
  <c r="H52" i="5" s="1"/>
  <c r="A52" i="5" a="1"/>
  <c r="A52" i="5" s="1"/>
  <c r="B52" i="5" s="1"/>
  <c r="A51" i="5" a="1"/>
  <c r="A51" i="5" s="1"/>
  <c r="A50" i="5" a="1"/>
  <c r="A50" i="5" s="1"/>
  <c r="B50" i="5" s="1"/>
  <c r="A49" i="5" a="1"/>
  <c r="A49" i="5" s="1"/>
  <c r="A48" i="5" a="1"/>
  <c r="A48" i="5" s="1"/>
  <c r="B48" i="5" s="1"/>
  <c r="A47" i="5" a="1"/>
  <c r="A47" i="5" s="1"/>
  <c r="B47" i="5" s="1"/>
  <c r="A46" i="5" a="1"/>
  <c r="A46" i="5" s="1"/>
  <c r="C46" i="5" s="1"/>
  <c r="A45" i="5" a="1"/>
  <c r="A45" i="5" s="1"/>
  <c r="C45" i="5" s="1"/>
  <c r="A44" i="5" a="1"/>
  <c r="A44" i="5" s="1"/>
  <c r="B44" i="5" s="1"/>
  <c r="A43" i="5" a="1"/>
  <c r="A43" i="5" s="1"/>
  <c r="A42" i="5" a="1"/>
  <c r="A42" i="5" s="1"/>
  <c r="C42" i="5" s="1"/>
  <c r="A41" i="5" a="1"/>
  <c r="A41" i="5" s="1"/>
  <c r="A40" i="5" a="1"/>
  <c r="A40" i="5" s="1"/>
  <c r="A39" i="5" a="1"/>
  <c r="A39" i="5" s="1"/>
  <c r="A38" i="5" a="1"/>
  <c r="A38" i="5" s="1"/>
  <c r="C38" i="5" s="1"/>
  <c r="A37" i="5" a="1"/>
  <c r="A37" i="5"/>
  <c r="A36" i="5" a="1"/>
  <c r="A36" i="5" s="1"/>
  <c r="B36" i="5" s="1"/>
  <c r="A35" i="5" a="1"/>
  <c r="A35" i="5" s="1"/>
  <c r="A34" i="5" a="1"/>
  <c r="A34" i="5" s="1"/>
  <c r="B34" i="5" s="1"/>
  <c r="A33" i="5" a="1"/>
  <c r="A33" i="5" s="1"/>
  <c r="A32" i="5" a="1"/>
  <c r="A32" i="5" s="1"/>
  <c r="A31" i="5" a="1"/>
  <c r="A31" i="5" s="1"/>
  <c r="B31" i="5" s="1"/>
  <c r="A30" i="5" a="1"/>
  <c r="A30" i="5"/>
  <c r="C30" i="5" s="1"/>
  <c r="A29" i="5" a="1"/>
  <c r="A29" i="5" s="1"/>
  <c r="C29" i="5" s="1"/>
  <c r="A28" i="5" a="1"/>
  <c r="A28" i="5" s="1"/>
  <c r="B28" i="5" s="1"/>
  <c r="A27" i="5" a="1"/>
  <c r="A27" i="5"/>
  <c r="A26" i="5" a="1"/>
  <c r="A26" i="5" s="1"/>
  <c r="C26" i="5" s="1"/>
  <c r="A25" i="5" a="1"/>
  <c r="A25" i="5" s="1"/>
  <c r="A24" i="5" a="1"/>
  <c r="A24" i="5" s="1"/>
  <c r="A23" i="5" a="1"/>
  <c r="A23" i="5" s="1"/>
  <c r="A22" i="5" a="1"/>
  <c r="A22" i="5" s="1"/>
  <c r="C22" i="5" s="1"/>
  <c r="A21" i="5" a="1"/>
  <c r="A21" i="5" s="1"/>
  <c r="A20" i="5" a="1"/>
  <c r="A20" i="5" s="1"/>
  <c r="B20" i="5" s="1"/>
  <c r="A19" i="5" a="1"/>
  <c r="A19" i="5" s="1"/>
  <c r="A18" i="5" a="1"/>
  <c r="A18" i="5" s="1"/>
  <c r="F18" i="5" s="1"/>
  <c r="H18" i="5" s="1"/>
  <c r="A17" i="5" a="1"/>
  <c r="A17" i="5" s="1"/>
  <c r="A16" i="5" a="1"/>
  <c r="A16" i="5" s="1"/>
  <c r="A15" i="5" a="1"/>
  <c r="A15" i="5" s="1"/>
  <c r="A14" i="5" a="1"/>
  <c r="A14" i="5" s="1"/>
  <c r="C14" i="5" s="1"/>
  <c r="A13" i="5" a="1"/>
  <c r="A13" i="5" s="1"/>
  <c r="C13" i="5" s="1"/>
  <c r="F12" i="5"/>
  <c r="A12" i="5" a="1"/>
  <c r="A12" i="5" s="1"/>
  <c r="B12" i="5" s="1"/>
  <c r="A11" i="5" a="1"/>
  <c r="A11" i="5" s="1"/>
  <c r="A10" i="5" a="1"/>
  <c r="A10" i="5" s="1"/>
  <c r="C10" i="5" s="1"/>
  <c r="A9" i="5" a="1"/>
  <c r="A9" i="5" s="1"/>
  <c r="C9" i="5" s="1"/>
  <c r="A8" i="5" a="1"/>
  <c r="A8" i="5" s="1"/>
  <c r="A7" i="5" a="1"/>
  <c r="A7" i="5" s="1"/>
  <c r="A6" i="5" a="1"/>
  <c r="A6" i="5" s="1"/>
  <c r="C6" i="5" s="1"/>
  <c r="A5" i="5" a="1"/>
  <c r="A5" i="5"/>
  <c r="A4" i="5" a="1"/>
  <c r="A4" i="5" s="1"/>
  <c r="B4" i="5" s="1"/>
  <c r="A3" i="5" a="1"/>
  <c r="A3" i="5" s="1"/>
  <c r="H125" i="5" l="1"/>
  <c r="I125" i="5"/>
  <c r="H246" i="5"/>
  <c r="C72" i="5"/>
  <c r="H94" i="5"/>
  <c r="I246" i="5"/>
  <c r="C57" i="5"/>
  <c r="F57" i="5"/>
  <c r="I57" i="5" s="1"/>
  <c r="I215" i="5"/>
  <c r="H215" i="5"/>
  <c r="F215" i="5"/>
  <c r="B293" i="5"/>
  <c r="C293" i="5"/>
  <c r="I231" i="5"/>
  <c r="H231" i="5"/>
  <c r="H113" i="5"/>
  <c r="C175" i="5"/>
  <c r="I186" i="5"/>
  <c r="B58" i="5"/>
  <c r="F238" i="5"/>
  <c r="F154" i="5"/>
  <c r="I238" i="5"/>
  <c r="B269" i="5"/>
  <c r="F65" i="5"/>
  <c r="I65" i="5" s="1"/>
  <c r="B88" i="5"/>
  <c r="C139" i="5"/>
  <c r="H143" i="5"/>
  <c r="I154" i="5"/>
  <c r="F191" i="5"/>
  <c r="C195" i="5"/>
  <c r="B229" i="5"/>
  <c r="C254" i="5"/>
  <c r="C285" i="5"/>
  <c r="H268" i="5"/>
  <c r="F9" i="5"/>
  <c r="I9" i="5" s="1"/>
  <c r="H157" i="5"/>
  <c r="F252" i="5"/>
  <c r="C277" i="5"/>
  <c r="B10" i="5"/>
  <c r="C50" i="5"/>
  <c r="C143" i="5"/>
  <c r="C171" i="5"/>
  <c r="I177" i="5"/>
  <c r="B195" i="5"/>
  <c r="F50" i="5"/>
  <c r="H50" i="5" s="1"/>
  <c r="C2" i="5"/>
  <c r="C34" i="5"/>
  <c r="C60" i="5"/>
  <c r="F105" i="5"/>
  <c r="F115" i="5"/>
  <c r="B125" i="5"/>
  <c r="H188" i="5"/>
  <c r="H191" i="5"/>
  <c r="H195" i="5"/>
  <c r="C246" i="5"/>
  <c r="H254" i="5"/>
  <c r="C18" i="5"/>
  <c r="C107" i="5"/>
  <c r="C238" i="5"/>
  <c r="B143" i="5"/>
  <c r="F114" i="5"/>
  <c r="F2" i="5"/>
  <c r="H2" i="5" s="1"/>
  <c r="F34" i="5"/>
  <c r="H34" i="5" s="1"/>
  <c r="C66" i="5"/>
  <c r="C125" i="5"/>
  <c r="B178" i="5"/>
  <c r="I195" i="5"/>
  <c r="F246" i="5"/>
  <c r="I254" i="5"/>
  <c r="F270" i="5"/>
  <c r="C3" i="5"/>
  <c r="F3" i="5"/>
  <c r="H3" i="5" s="1"/>
  <c r="C35" i="5"/>
  <c r="F35" i="5"/>
  <c r="H35" i="5" s="1"/>
  <c r="H162" i="5"/>
  <c r="F162" i="5"/>
  <c r="I162" i="5" s="1"/>
  <c r="B162" i="5"/>
  <c r="B237" i="5"/>
  <c r="I237" i="5"/>
  <c r="H237" i="5"/>
  <c r="C237" i="5"/>
  <c r="F237" i="5"/>
  <c r="C235" i="5"/>
  <c r="B235" i="5"/>
  <c r="F235" i="5"/>
  <c r="F25" i="5"/>
  <c r="I25" i="5" s="1"/>
  <c r="C25" i="5"/>
  <c r="B146" i="5"/>
  <c r="F146" i="5"/>
  <c r="B262" i="5"/>
  <c r="I262" i="5"/>
  <c r="H262" i="5"/>
  <c r="F262" i="5"/>
  <c r="C262" i="5"/>
  <c r="B294" i="5"/>
  <c r="F294" i="5"/>
  <c r="C294" i="5"/>
  <c r="I294" i="5"/>
  <c r="H294" i="5"/>
  <c r="B214" i="5"/>
  <c r="F214" i="5"/>
  <c r="C214" i="5"/>
  <c r="H214" i="5"/>
  <c r="I214" i="5"/>
  <c r="B286" i="5"/>
  <c r="F286" i="5"/>
  <c r="C286" i="5"/>
  <c r="H286" i="5"/>
  <c r="I286" i="5"/>
  <c r="C19" i="5"/>
  <c r="F19" i="5"/>
  <c r="H19" i="5" s="1"/>
  <c r="F170" i="5"/>
  <c r="I170" i="5" s="1"/>
  <c r="C170" i="5"/>
  <c r="C243" i="5"/>
  <c r="F243" i="5"/>
  <c r="B233" i="5"/>
  <c r="I233" i="5"/>
  <c r="B253" i="5"/>
  <c r="I253" i="5"/>
  <c r="H253" i="5"/>
  <c r="F253" i="5"/>
  <c r="C253" i="5"/>
  <c r="C127" i="5"/>
  <c r="B127" i="5"/>
  <c r="C159" i="5"/>
  <c r="B159" i="5"/>
  <c r="F245" i="5"/>
  <c r="C245" i="5"/>
  <c r="B245" i="5"/>
  <c r="H245" i="5"/>
  <c r="I245" i="5"/>
  <c r="B278" i="5"/>
  <c r="F278" i="5"/>
  <c r="C278" i="5"/>
  <c r="H278" i="5"/>
  <c r="I278" i="5"/>
  <c r="C205" i="5"/>
  <c r="B205" i="5"/>
  <c r="F205" i="5"/>
  <c r="I205" i="5" s="1"/>
  <c r="H205" i="5"/>
  <c r="C211" i="5"/>
  <c r="B211" i="5"/>
  <c r="F221" i="5"/>
  <c r="C221" i="5"/>
  <c r="B221" i="5"/>
  <c r="H221" i="5"/>
  <c r="I221" i="5"/>
  <c r="F213" i="5"/>
  <c r="C213" i="5"/>
  <c r="B213" i="5"/>
  <c r="H223" i="5"/>
  <c r="F223" i="5"/>
  <c r="I223" i="5"/>
  <c r="C51" i="5"/>
  <c r="H51" i="5"/>
  <c r="F51" i="5"/>
  <c r="F41" i="5"/>
  <c r="I41" i="5" s="1"/>
  <c r="C41" i="5"/>
  <c r="F130" i="5"/>
  <c r="I130" i="5" s="1"/>
  <c r="B130" i="5"/>
  <c r="B26" i="5"/>
  <c r="B42" i="5"/>
  <c r="F60" i="5"/>
  <c r="I113" i="5"/>
  <c r="F121" i="5"/>
  <c r="I157" i="5"/>
  <c r="C178" i="5"/>
  <c r="B204" i="5"/>
  <c r="F220" i="5"/>
  <c r="C229" i="5"/>
  <c r="C269" i="5"/>
  <c r="H270" i="5"/>
  <c r="F277" i="5"/>
  <c r="F285" i="5"/>
  <c r="F293" i="5"/>
  <c r="B80" i="5"/>
  <c r="B124" i="5"/>
  <c r="F131" i="5"/>
  <c r="C134" i="5"/>
  <c r="F178" i="5"/>
  <c r="B194" i="5"/>
  <c r="C204" i="5"/>
  <c r="H220" i="5"/>
  <c r="F229" i="5"/>
  <c r="B236" i="5"/>
  <c r="C244" i="5"/>
  <c r="B261" i="5"/>
  <c r="F269" i="5"/>
  <c r="I270" i="5"/>
  <c r="H277" i="5"/>
  <c r="B284" i="5"/>
  <c r="H285" i="5"/>
  <c r="B292" i="5"/>
  <c r="H293" i="5"/>
  <c r="C20" i="5"/>
  <c r="C36" i="5"/>
  <c r="C58" i="5"/>
  <c r="B111" i="5"/>
  <c r="B145" i="5"/>
  <c r="B156" i="5"/>
  <c r="B177" i="5"/>
  <c r="H222" i="5"/>
  <c r="H229" i="5"/>
  <c r="C236" i="5"/>
  <c r="C261" i="5"/>
  <c r="H269" i="5"/>
  <c r="I277" i="5"/>
  <c r="C284" i="5"/>
  <c r="I285" i="5"/>
  <c r="C292" i="5"/>
  <c r="I293" i="5"/>
  <c r="C4" i="5"/>
  <c r="F4" i="5"/>
  <c r="B18" i="5"/>
  <c r="F20" i="5"/>
  <c r="F36" i="5"/>
  <c r="C52" i="5"/>
  <c r="C111" i="5"/>
  <c r="B114" i="5"/>
  <c r="H145" i="5"/>
  <c r="H177" i="5"/>
  <c r="F179" i="5"/>
  <c r="F185" i="5"/>
  <c r="H185" i="5" s="1"/>
  <c r="C188" i="5"/>
  <c r="F236" i="5"/>
  <c r="F261" i="5"/>
  <c r="H276" i="5"/>
  <c r="H284" i="5"/>
  <c r="H292" i="5"/>
  <c r="H261" i="5"/>
  <c r="C28" i="5"/>
  <c r="C44" i="5"/>
  <c r="B157" i="5"/>
  <c r="C12" i="5"/>
  <c r="F28" i="5"/>
  <c r="F44" i="5"/>
  <c r="B113" i="5"/>
  <c r="C157" i="5"/>
  <c r="B175" i="5"/>
  <c r="F186" i="5"/>
  <c r="F219" i="5"/>
  <c r="H238" i="5"/>
  <c r="C270" i="5"/>
  <c r="I24" i="5"/>
  <c r="F24" i="5"/>
  <c r="H24" i="5" s="1"/>
  <c r="C24" i="5"/>
  <c r="B24" i="5"/>
  <c r="F40" i="5"/>
  <c r="I40" i="5" s="1"/>
  <c r="H40" i="5"/>
  <c r="C40" i="5"/>
  <c r="B40" i="5"/>
  <c r="F8" i="5"/>
  <c r="I8" i="5" s="1"/>
  <c r="C8" i="5"/>
  <c r="B8" i="5"/>
  <c r="I106" i="5"/>
  <c r="C5" i="5"/>
  <c r="F5" i="5"/>
  <c r="I5" i="5" s="1"/>
  <c r="B5" i="5"/>
  <c r="F11" i="5"/>
  <c r="I11" i="5" s="1"/>
  <c r="C11" i="5"/>
  <c r="B11" i="5"/>
  <c r="I44" i="5"/>
  <c r="H44" i="5"/>
  <c r="C47" i="5"/>
  <c r="F47" i="5"/>
  <c r="H47" i="5" s="1"/>
  <c r="H55" i="5"/>
  <c r="C55" i="5"/>
  <c r="B55" i="5"/>
  <c r="F55" i="5"/>
  <c r="I55" i="5" s="1"/>
  <c r="F168" i="5"/>
  <c r="I168" i="5" s="1"/>
  <c r="H168" i="5"/>
  <c r="C168" i="5"/>
  <c r="B168" i="5"/>
  <c r="F56" i="5"/>
  <c r="I56" i="5" s="1"/>
  <c r="H56" i="5"/>
  <c r="C56" i="5"/>
  <c r="B56" i="5"/>
  <c r="F62" i="5"/>
  <c r="I62" i="5" s="1"/>
  <c r="B62" i="5"/>
  <c r="C62" i="5"/>
  <c r="C76" i="5"/>
  <c r="B76" i="5"/>
  <c r="F76" i="5"/>
  <c r="H76" i="5" s="1"/>
  <c r="F33" i="5"/>
  <c r="H33" i="5" s="1"/>
  <c r="C33" i="5"/>
  <c r="B33" i="5"/>
  <c r="I28" i="5"/>
  <c r="H28" i="5"/>
  <c r="C31" i="5"/>
  <c r="F31" i="5"/>
  <c r="H31" i="5" s="1"/>
  <c r="C39" i="5"/>
  <c r="I39" i="5"/>
  <c r="F39" i="5"/>
  <c r="H39" i="5" s="1"/>
  <c r="B39" i="5"/>
  <c r="C53" i="5"/>
  <c r="I53" i="5"/>
  <c r="H53" i="5"/>
  <c r="F53" i="5"/>
  <c r="B53" i="5"/>
  <c r="I59" i="5"/>
  <c r="H86" i="5"/>
  <c r="F86" i="5"/>
  <c r="B86" i="5"/>
  <c r="I86" i="5"/>
  <c r="C86" i="5"/>
  <c r="F149" i="5"/>
  <c r="H149" i="5" s="1"/>
  <c r="B149" i="5"/>
  <c r="I149" i="5"/>
  <c r="C149" i="5"/>
  <c r="C84" i="5"/>
  <c r="B84" i="5"/>
  <c r="F84" i="5"/>
  <c r="H84" i="5" s="1"/>
  <c r="I93" i="5"/>
  <c r="F93" i="5"/>
  <c r="H93" i="5" s="1"/>
  <c r="C93" i="5"/>
  <c r="B93" i="5"/>
  <c r="H82" i="5"/>
  <c r="F99" i="5"/>
  <c r="C99" i="5"/>
  <c r="I99" i="5"/>
  <c r="H99" i="5"/>
  <c r="B99" i="5"/>
  <c r="F104" i="5"/>
  <c r="I104" i="5" s="1"/>
  <c r="H104" i="5"/>
  <c r="B104" i="5"/>
  <c r="C104" i="5"/>
  <c r="F165" i="5"/>
  <c r="I165" i="5" s="1"/>
  <c r="C165" i="5"/>
  <c r="B165" i="5"/>
  <c r="I12" i="5"/>
  <c r="H12" i="5"/>
  <c r="H15" i="5"/>
  <c r="C15" i="5"/>
  <c r="I15" i="5"/>
  <c r="F15" i="5"/>
  <c r="H23" i="5"/>
  <c r="C23" i="5"/>
  <c r="I23" i="5"/>
  <c r="F23" i="5"/>
  <c r="B23" i="5"/>
  <c r="C37" i="5"/>
  <c r="F37" i="5"/>
  <c r="I37" i="5" s="1"/>
  <c r="B37" i="5"/>
  <c r="F43" i="5"/>
  <c r="H43" i="5" s="1"/>
  <c r="C43" i="5"/>
  <c r="B43" i="5"/>
  <c r="F78" i="5"/>
  <c r="H78" i="5" s="1"/>
  <c r="B78" i="5"/>
  <c r="C78" i="5"/>
  <c r="H17" i="5"/>
  <c r="I17" i="5"/>
  <c r="F17" i="5"/>
  <c r="C17" i="5"/>
  <c r="B17" i="5"/>
  <c r="B15" i="5"/>
  <c r="H49" i="5"/>
  <c r="F49" i="5"/>
  <c r="I49" i="5"/>
  <c r="C49" i="5"/>
  <c r="B49" i="5"/>
  <c r="F70" i="5"/>
  <c r="H70" i="5" s="1"/>
  <c r="B70" i="5"/>
  <c r="F101" i="5"/>
  <c r="H101" i="5" s="1"/>
  <c r="I101" i="5"/>
  <c r="B101" i="5"/>
  <c r="I71" i="5"/>
  <c r="C71" i="5"/>
  <c r="F71" i="5"/>
  <c r="H71" i="5" s="1"/>
  <c r="B71" i="5"/>
  <c r="B97" i="5"/>
  <c r="C97" i="5"/>
  <c r="F97" i="5"/>
  <c r="I97" i="5" s="1"/>
  <c r="C7" i="5"/>
  <c r="F7" i="5"/>
  <c r="I7" i="5" s="1"/>
  <c r="B7" i="5"/>
  <c r="C21" i="5"/>
  <c r="I21" i="5"/>
  <c r="F21" i="5"/>
  <c r="H21" i="5" s="1"/>
  <c r="B21" i="5"/>
  <c r="F27" i="5"/>
  <c r="H27" i="5" s="1"/>
  <c r="C27" i="5"/>
  <c r="B27" i="5"/>
  <c r="I60" i="5"/>
  <c r="H60" i="5"/>
  <c r="F64" i="5"/>
  <c r="H64" i="5" s="1"/>
  <c r="C64" i="5"/>
  <c r="B64" i="5"/>
  <c r="B137" i="5"/>
  <c r="C148" i="5"/>
  <c r="I148" i="5"/>
  <c r="F148" i="5"/>
  <c r="B148" i="5"/>
  <c r="B169" i="5"/>
  <c r="I3" i="5"/>
  <c r="F14" i="5"/>
  <c r="H14" i="5" s="1"/>
  <c r="B14" i="5"/>
  <c r="I35" i="5"/>
  <c r="F46" i="5"/>
  <c r="B46" i="5"/>
  <c r="I51" i="5"/>
  <c r="B59" i="5"/>
  <c r="C67" i="5"/>
  <c r="F69" i="5"/>
  <c r="H69" i="5" s="1"/>
  <c r="C69" i="5"/>
  <c r="F74" i="5"/>
  <c r="H74" i="5" s="1"/>
  <c r="F82" i="5"/>
  <c r="C95" i="5"/>
  <c r="B95" i="5"/>
  <c r="H102" i="5"/>
  <c r="B102" i="5"/>
  <c r="I102" i="5"/>
  <c r="C124" i="5"/>
  <c r="H124" i="5"/>
  <c r="H130" i="5"/>
  <c r="C132" i="5"/>
  <c r="H132" i="5"/>
  <c r="I132" i="5"/>
  <c r="B132" i="5"/>
  <c r="C137" i="5"/>
  <c r="F142" i="5"/>
  <c r="I142" i="5" s="1"/>
  <c r="C142" i="5"/>
  <c r="B144" i="5"/>
  <c r="F144" i="5"/>
  <c r="I146" i="5"/>
  <c r="H148" i="5"/>
  <c r="I159" i="5"/>
  <c r="F159" i="5"/>
  <c r="H159" i="5"/>
  <c r="F161" i="5"/>
  <c r="I161" i="5" s="1"/>
  <c r="C161" i="5"/>
  <c r="B161" i="5"/>
  <c r="F163" i="5"/>
  <c r="H163" i="5" s="1"/>
  <c r="C169" i="5"/>
  <c r="H184" i="5"/>
  <c r="F184" i="5"/>
  <c r="I184" i="5" s="1"/>
  <c r="C184" i="5"/>
  <c r="F193" i="5"/>
  <c r="I193" i="5" s="1"/>
  <c r="C193" i="5"/>
  <c r="F109" i="5"/>
  <c r="H109" i="5"/>
  <c r="C109" i="5"/>
  <c r="I151" i="5"/>
  <c r="H151" i="5"/>
  <c r="C151" i="5"/>
  <c r="B151" i="5"/>
  <c r="B166" i="5"/>
  <c r="H183" i="5"/>
  <c r="F183" i="5"/>
  <c r="I183" i="5" s="1"/>
  <c r="C183" i="5"/>
  <c r="B183" i="5"/>
  <c r="I19" i="5"/>
  <c r="F30" i="5"/>
  <c r="B30" i="5"/>
  <c r="I58" i="5"/>
  <c r="C59" i="5"/>
  <c r="F67" i="5"/>
  <c r="H67" i="5" s="1"/>
  <c r="F95" i="5"/>
  <c r="I95" i="5" s="1"/>
  <c r="C102" i="5"/>
  <c r="I105" i="5"/>
  <c r="B105" i="5"/>
  <c r="H105" i="5"/>
  <c r="I109" i="5"/>
  <c r="C116" i="5"/>
  <c r="F116" i="5"/>
  <c r="H116" i="5" s="1"/>
  <c r="B116" i="5"/>
  <c r="I119" i="5"/>
  <c r="H119" i="5"/>
  <c r="C119" i="5"/>
  <c r="B119" i="5"/>
  <c r="C122" i="5"/>
  <c r="H122" i="5"/>
  <c r="B122" i="5"/>
  <c r="F128" i="5"/>
  <c r="H128" i="5" s="1"/>
  <c r="B128" i="5"/>
  <c r="I135" i="5"/>
  <c r="B135" i="5"/>
  <c r="H135" i="5"/>
  <c r="C135" i="5"/>
  <c r="F137" i="5"/>
  <c r="I137" i="5" s="1"/>
  <c r="I152" i="5"/>
  <c r="H152" i="5"/>
  <c r="C152" i="5"/>
  <c r="F166" i="5"/>
  <c r="H166" i="5" s="1"/>
  <c r="F169" i="5"/>
  <c r="I169" i="5" s="1"/>
  <c r="C172" i="5"/>
  <c r="B172" i="5"/>
  <c r="I172" i="5"/>
  <c r="H172" i="5"/>
  <c r="B184" i="5"/>
  <c r="B187" i="5"/>
  <c r="H187" i="5"/>
  <c r="I187" i="5"/>
  <c r="F187" i="5"/>
  <c r="C187" i="5"/>
  <c r="B193" i="5"/>
  <c r="F16" i="5"/>
  <c r="H16" i="5" s="1"/>
  <c r="F59" i="5"/>
  <c r="F61" i="5"/>
  <c r="I61" i="5" s="1"/>
  <c r="C61" i="5"/>
  <c r="C79" i="5"/>
  <c r="B89" i="5"/>
  <c r="F110" i="5"/>
  <c r="H110" i="5" s="1"/>
  <c r="C110" i="5"/>
  <c r="B112" i="5"/>
  <c r="F112" i="5"/>
  <c r="H126" i="5"/>
  <c r="B126" i="5"/>
  <c r="I126" i="5"/>
  <c r="F126" i="5"/>
  <c r="F138" i="5"/>
  <c r="I138" i="5" s="1"/>
  <c r="B138" i="5"/>
  <c r="C140" i="5"/>
  <c r="B140" i="5"/>
  <c r="B176" i="5"/>
  <c r="F176" i="5"/>
  <c r="C176" i="5"/>
  <c r="F181" i="5"/>
  <c r="I181" i="5" s="1"/>
  <c r="B181" i="5"/>
  <c r="C181" i="5"/>
  <c r="B190" i="5"/>
  <c r="F190" i="5"/>
  <c r="I190" i="5" s="1"/>
  <c r="H190" i="5"/>
  <c r="C190" i="5"/>
  <c r="B198" i="5"/>
  <c r="H198" i="5"/>
  <c r="I198" i="5"/>
  <c r="F198" i="5"/>
  <c r="C198" i="5"/>
  <c r="F202" i="5"/>
  <c r="I202" i="5"/>
  <c r="H202" i="5"/>
  <c r="C202" i="5"/>
  <c r="B202" i="5"/>
  <c r="I32" i="5"/>
  <c r="F32" i="5"/>
  <c r="H32" i="5" s="1"/>
  <c r="I87" i="5"/>
  <c r="H87" i="5"/>
  <c r="C87" i="5"/>
  <c r="C98" i="5"/>
  <c r="H30" i="5"/>
  <c r="H59" i="5"/>
  <c r="I63" i="5"/>
  <c r="H63" i="5"/>
  <c r="C63" i="5"/>
  <c r="C112" i="5"/>
  <c r="F117" i="5"/>
  <c r="I117" i="5" s="1"/>
  <c r="B117" i="5"/>
  <c r="C117" i="5"/>
  <c r="C120" i="5"/>
  <c r="F133" i="5"/>
  <c r="H133" i="5" s="1"/>
  <c r="I133" i="5"/>
  <c r="B133" i="5"/>
  <c r="F140" i="5"/>
  <c r="H140" i="5" s="1"/>
  <c r="B155" i="5"/>
  <c r="F155" i="5"/>
  <c r="H155" i="5" s="1"/>
  <c r="C155" i="5"/>
  <c r="F173" i="5"/>
  <c r="H173" i="5" s="1"/>
  <c r="C173" i="5"/>
  <c r="B173" i="5"/>
  <c r="H176" i="5"/>
  <c r="B81" i="5"/>
  <c r="H81" i="5"/>
  <c r="F83" i="5"/>
  <c r="I83" i="5" s="1"/>
  <c r="B83" i="5"/>
  <c r="F85" i="5"/>
  <c r="I85" i="5" s="1"/>
  <c r="C85" i="5"/>
  <c r="F91" i="5"/>
  <c r="I91" i="5" s="1"/>
  <c r="C91" i="5"/>
  <c r="B91" i="5"/>
  <c r="H9" i="5"/>
  <c r="H25" i="5"/>
  <c r="H41" i="5"/>
  <c r="I67" i="5"/>
  <c r="C73" i="5"/>
  <c r="B79" i="5"/>
  <c r="C81" i="5"/>
  <c r="B87" i="5"/>
  <c r="C89" i="5"/>
  <c r="H91" i="5"/>
  <c r="F96" i="5"/>
  <c r="H96" i="5" s="1"/>
  <c r="C96" i="5"/>
  <c r="I103" i="5"/>
  <c r="B103" i="5"/>
  <c r="C103" i="5"/>
  <c r="B3" i="5"/>
  <c r="H4" i="5"/>
  <c r="F6" i="5"/>
  <c r="B6" i="5"/>
  <c r="B29" i="5"/>
  <c r="B32" i="5"/>
  <c r="H36" i="5"/>
  <c r="F38" i="5"/>
  <c r="B38" i="5"/>
  <c r="F42" i="5"/>
  <c r="I42" i="5" s="1"/>
  <c r="B45" i="5"/>
  <c r="I46" i="5"/>
  <c r="B51" i="5"/>
  <c r="F54" i="5"/>
  <c r="B54" i="5"/>
  <c r="B61" i="5"/>
  <c r="H65" i="5"/>
  <c r="F66" i="5"/>
  <c r="I66" i="5" s="1"/>
  <c r="C68" i="5"/>
  <c r="B68" i="5"/>
  <c r="I69" i="5"/>
  <c r="F79" i="5"/>
  <c r="I79" i="5" s="1"/>
  <c r="F81" i="5"/>
  <c r="C83" i="5"/>
  <c r="B85" i="5"/>
  <c r="F87" i="5"/>
  <c r="F89" i="5"/>
  <c r="I89" i="5" s="1"/>
  <c r="F92" i="5"/>
  <c r="I92" i="5" s="1"/>
  <c r="B92" i="5"/>
  <c r="C94" i="5"/>
  <c r="I94" i="5"/>
  <c r="B98" i="5"/>
  <c r="F106" i="5"/>
  <c r="H106" i="5" s="1"/>
  <c r="B106" i="5"/>
  <c r="C108" i="5"/>
  <c r="B108" i="5"/>
  <c r="B110" i="5"/>
  <c r="H112" i="5"/>
  <c r="B120" i="5"/>
  <c r="C126" i="5"/>
  <c r="B131" i="5"/>
  <c r="C131" i="5"/>
  <c r="I131" i="5"/>
  <c r="F136" i="5"/>
  <c r="I136" i="5" s="1"/>
  <c r="H136" i="5"/>
  <c r="B136" i="5"/>
  <c r="C138" i="5"/>
  <c r="I140" i="5"/>
  <c r="B147" i="5"/>
  <c r="C147" i="5"/>
  <c r="F150" i="5"/>
  <c r="I150" i="5" s="1"/>
  <c r="B150" i="5"/>
  <c r="B153" i="5"/>
  <c r="C153" i="5"/>
  <c r="I153" i="5"/>
  <c r="I173" i="5"/>
  <c r="I176" i="5"/>
  <c r="F182" i="5"/>
  <c r="I182" i="5" s="1"/>
  <c r="B182" i="5"/>
  <c r="C199" i="5"/>
  <c r="B199" i="5"/>
  <c r="F199" i="5"/>
  <c r="I48" i="5"/>
  <c r="F48" i="5"/>
  <c r="H48" i="5" s="1"/>
  <c r="B73" i="5"/>
  <c r="H73" i="5"/>
  <c r="F75" i="5"/>
  <c r="B75" i="5"/>
  <c r="F77" i="5"/>
  <c r="H77" i="5" s="1"/>
  <c r="C77" i="5"/>
  <c r="H46" i="5"/>
  <c r="H57" i="5"/>
  <c r="H100" i="5"/>
  <c r="I100" i="5"/>
  <c r="C100" i="5"/>
  <c r="B100" i="5"/>
  <c r="F10" i="5"/>
  <c r="I10" i="5" s="1"/>
  <c r="B13" i="5"/>
  <c r="B16" i="5"/>
  <c r="B19" i="5"/>
  <c r="H20" i="5"/>
  <c r="F22" i="5"/>
  <c r="B22" i="5"/>
  <c r="F26" i="5"/>
  <c r="H26" i="5" s="1"/>
  <c r="I30" i="5"/>
  <c r="B35" i="5"/>
  <c r="I2" i="5"/>
  <c r="I4" i="5"/>
  <c r="B9" i="5"/>
  <c r="F13" i="5"/>
  <c r="C16" i="5"/>
  <c r="I18" i="5"/>
  <c r="I20" i="5"/>
  <c r="B25" i="5"/>
  <c r="F29" i="5"/>
  <c r="C32" i="5"/>
  <c r="I34" i="5"/>
  <c r="I36" i="5"/>
  <c r="B41" i="5"/>
  <c r="H42" i="5"/>
  <c r="F45" i="5"/>
  <c r="C48" i="5"/>
  <c r="I50" i="5"/>
  <c r="I52" i="5"/>
  <c r="B57" i="5"/>
  <c r="H58" i="5"/>
  <c r="B63" i="5"/>
  <c r="B65" i="5"/>
  <c r="H66" i="5"/>
  <c r="F68" i="5"/>
  <c r="F72" i="5"/>
  <c r="H72" i="5" s="1"/>
  <c r="I73" i="5"/>
  <c r="H75" i="5"/>
  <c r="I80" i="5"/>
  <c r="F80" i="5"/>
  <c r="H80" i="5" s="1"/>
  <c r="I81" i="5"/>
  <c r="H85" i="5"/>
  <c r="I88" i="5"/>
  <c r="F88" i="5"/>
  <c r="H88" i="5" s="1"/>
  <c r="B94" i="5"/>
  <c r="B96" i="5"/>
  <c r="F98" i="5"/>
  <c r="H98" i="5" s="1"/>
  <c r="F103" i="5"/>
  <c r="H103" i="5" s="1"/>
  <c r="F108" i="5"/>
  <c r="I108" i="5" s="1"/>
  <c r="I110" i="5"/>
  <c r="I112" i="5"/>
  <c r="F120" i="5"/>
  <c r="I120" i="5" s="1"/>
  <c r="B123" i="5"/>
  <c r="F123" i="5"/>
  <c r="H123" i="5" s="1"/>
  <c r="I127" i="5"/>
  <c r="F127" i="5"/>
  <c r="H127" i="5" s="1"/>
  <c r="H129" i="5"/>
  <c r="F129" i="5"/>
  <c r="I129" i="5" s="1"/>
  <c r="B129" i="5"/>
  <c r="C133" i="5"/>
  <c r="H138" i="5"/>
  <c r="F141" i="5"/>
  <c r="I141" i="5" s="1"/>
  <c r="C141" i="5"/>
  <c r="F147" i="5"/>
  <c r="H147" i="5" s="1"/>
  <c r="C150" i="5"/>
  <c r="F153" i="5"/>
  <c r="H153" i="5" s="1"/>
  <c r="C156" i="5"/>
  <c r="I156" i="5"/>
  <c r="H156" i="5"/>
  <c r="H170" i="5"/>
  <c r="H174" i="5"/>
  <c r="I174" i="5"/>
  <c r="F174" i="5"/>
  <c r="C174" i="5"/>
  <c r="B174" i="5"/>
  <c r="C182" i="5"/>
  <c r="C74" i="5"/>
  <c r="I74" i="5"/>
  <c r="I75" i="5"/>
  <c r="C82" i="5"/>
  <c r="I82" i="5"/>
  <c r="C90" i="5"/>
  <c r="F90" i="5"/>
  <c r="I90" i="5" s="1"/>
  <c r="I98" i="5"/>
  <c r="B115" i="5"/>
  <c r="C115" i="5"/>
  <c r="I115" i="5"/>
  <c r="F118" i="5"/>
  <c r="I118" i="5" s="1"/>
  <c r="B118" i="5"/>
  <c r="B121" i="5"/>
  <c r="C121" i="5"/>
  <c r="I121" i="5"/>
  <c r="H134" i="5"/>
  <c r="B134" i="5"/>
  <c r="I134" i="5"/>
  <c r="H158" i="5"/>
  <c r="B158" i="5"/>
  <c r="I158" i="5"/>
  <c r="F158" i="5"/>
  <c r="C158" i="5"/>
  <c r="B163" i="5"/>
  <c r="C163" i="5"/>
  <c r="B179" i="5"/>
  <c r="C179" i="5"/>
  <c r="I179" i="5"/>
  <c r="B224" i="5"/>
  <c r="F224" i="5"/>
  <c r="C224" i="5"/>
  <c r="I224" i="5"/>
  <c r="H224" i="5"/>
  <c r="C265" i="5"/>
  <c r="H265" i="5"/>
  <c r="F265" i="5"/>
  <c r="I265" i="5"/>
  <c r="B265" i="5"/>
  <c r="H275" i="5"/>
  <c r="I275" i="5"/>
  <c r="F275" i="5"/>
  <c r="C275" i="5"/>
  <c r="B275" i="5"/>
  <c r="C114" i="5"/>
  <c r="C130" i="5"/>
  <c r="C146" i="5"/>
  <c r="C162" i="5"/>
  <c r="I185" i="5"/>
  <c r="I188" i="5"/>
  <c r="I191" i="5"/>
  <c r="B200" i="5"/>
  <c r="F200" i="5"/>
  <c r="B206" i="5"/>
  <c r="F206" i="5"/>
  <c r="I206" i="5" s="1"/>
  <c r="C225" i="5"/>
  <c r="H225" i="5"/>
  <c r="F225" i="5"/>
  <c r="I225" i="5"/>
  <c r="B225" i="5"/>
  <c r="F266" i="5"/>
  <c r="I266" i="5"/>
  <c r="H266" i="5"/>
  <c r="C266" i="5"/>
  <c r="B266" i="5"/>
  <c r="C164" i="5"/>
  <c r="H164" i="5"/>
  <c r="I167" i="5"/>
  <c r="B167" i="5"/>
  <c r="F192" i="5"/>
  <c r="I192" i="5" s="1"/>
  <c r="B192" i="5"/>
  <c r="I194" i="5"/>
  <c r="C197" i="5"/>
  <c r="C200" i="5"/>
  <c r="C206" i="5"/>
  <c r="I213" i="5"/>
  <c r="H213" i="5"/>
  <c r="F226" i="5"/>
  <c r="I226" i="5"/>
  <c r="H226" i="5"/>
  <c r="C226" i="5"/>
  <c r="B226" i="5"/>
  <c r="B256" i="5"/>
  <c r="F256" i="5"/>
  <c r="C256" i="5"/>
  <c r="I256" i="5"/>
  <c r="H256" i="5"/>
  <c r="H267" i="5"/>
  <c r="I267" i="5"/>
  <c r="F267" i="5"/>
  <c r="C267" i="5"/>
  <c r="B267" i="5"/>
  <c r="F107" i="5"/>
  <c r="C113" i="5"/>
  <c r="F139" i="5"/>
  <c r="C145" i="5"/>
  <c r="F171" i="5"/>
  <c r="C177" i="5"/>
  <c r="B180" i="5"/>
  <c r="C192" i="5"/>
  <c r="H200" i="5"/>
  <c r="H203" i="5"/>
  <c r="I203" i="5"/>
  <c r="C203" i="5"/>
  <c r="B203" i="5"/>
  <c r="C207" i="5"/>
  <c r="B207" i="5"/>
  <c r="F207" i="5"/>
  <c r="I212" i="5"/>
  <c r="H212" i="5"/>
  <c r="C212" i="5"/>
  <c r="H227" i="5"/>
  <c r="I227" i="5"/>
  <c r="F227" i="5"/>
  <c r="C227" i="5"/>
  <c r="B227" i="5"/>
  <c r="C257" i="5"/>
  <c r="H257" i="5"/>
  <c r="F257" i="5"/>
  <c r="I257" i="5"/>
  <c r="B257" i="5"/>
  <c r="B154" i="5"/>
  <c r="B160" i="5"/>
  <c r="B164" i="5"/>
  <c r="C167" i="5"/>
  <c r="B170" i="5"/>
  <c r="F180" i="5"/>
  <c r="H180" i="5" s="1"/>
  <c r="B186" i="5"/>
  <c r="B189" i="5"/>
  <c r="B197" i="5"/>
  <c r="I200" i="5"/>
  <c r="B212" i="5"/>
  <c r="F197" i="5"/>
  <c r="I197" i="5" s="1"/>
  <c r="C201" i="5"/>
  <c r="H201" i="5"/>
  <c r="F201" i="5"/>
  <c r="I201" i="5"/>
  <c r="F203" i="5"/>
  <c r="H207" i="5"/>
  <c r="F210" i="5"/>
  <c r="I210" i="5"/>
  <c r="H210" i="5"/>
  <c r="B210" i="5"/>
  <c r="F212" i="5"/>
  <c r="I111" i="5"/>
  <c r="H114" i="5"/>
  <c r="I143" i="5"/>
  <c r="H146" i="5"/>
  <c r="H154" i="5"/>
  <c r="F160" i="5"/>
  <c r="H160" i="5" s="1"/>
  <c r="I164" i="5"/>
  <c r="H167" i="5"/>
  <c r="I175" i="5"/>
  <c r="H178" i="5"/>
  <c r="C185" i="5"/>
  <c r="H186" i="5"/>
  <c r="B188" i="5"/>
  <c r="F189" i="5"/>
  <c r="I189" i="5" s="1"/>
  <c r="B191" i="5"/>
  <c r="F194" i="5"/>
  <c r="H194" i="5" s="1"/>
  <c r="B196" i="5"/>
  <c r="F196" i="5"/>
  <c r="I204" i="5"/>
  <c r="I207" i="5"/>
  <c r="C210" i="5"/>
  <c r="B208" i="5"/>
  <c r="F208" i="5"/>
  <c r="H208" i="5" s="1"/>
  <c r="C208" i="5"/>
  <c r="F258" i="5"/>
  <c r="I258" i="5"/>
  <c r="H258" i="5"/>
  <c r="C258" i="5"/>
  <c r="B258" i="5"/>
  <c r="B280" i="5"/>
  <c r="F280" i="5"/>
  <c r="C280" i="5"/>
  <c r="I280" i="5"/>
  <c r="H280" i="5"/>
  <c r="B288" i="5"/>
  <c r="F288" i="5"/>
  <c r="C288" i="5"/>
  <c r="I288" i="5"/>
  <c r="H288" i="5"/>
  <c r="H259" i="5"/>
  <c r="I259" i="5"/>
  <c r="F259" i="5"/>
  <c r="C259" i="5"/>
  <c r="B259" i="5"/>
  <c r="B272" i="5"/>
  <c r="F272" i="5"/>
  <c r="C272" i="5"/>
  <c r="I272" i="5"/>
  <c r="H272" i="5"/>
  <c r="C281" i="5"/>
  <c r="H281" i="5"/>
  <c r="F281" i="5"/>
  <c r="I281" i="5"/>
  <c r="B281" i="5"/>
  <c r="C289" i="5"/>
  <c r="H289" i="5"/>
  <c r="F289" i="5"/>
  <c r="I289" i="5"/>
  <c r="B289" i="5"/>
  <c r="H211" i="5"/>
  <c r="F211" i="5"/>
  <c r="I211" i="5" s="1"/>
  <c r="C273" i="5"/>
  <c r="H273" i="5"/>
  <c r="F273" i="5"/>
  <c r="I273" i="5"/>
  <c r="B273" i="5"/>
  <c r="F282" i="5"/>
  <c r="I282" i="5"/>
  <c r="H282" i="5"/>
  <c r="C282" i="5"/>
  <c r="B282" i="5"/>
  <c r="F290" i="5"/>
  <c r="I290" i="5"/>
  <c r="H290" i="5"/>
  <c r="C290" i="5"/>
  <c r="B290" i="5"/>
  <c r="C209" i="5"/>
  <c r="F209" i="5"/>
  <c r="I209" i="5" s="1"/>
  <c r="B264" i="5"/>
  <c r="F264" i="5"/>
  <c r="C264" i="5"/>
  <c r="I264" i="5"/>
  <c r="H264" i="5"/>
  <c r="F274" i="5"/>
  <c r="I274" i="5"/>
  <c r="H274" i="5"/>
  <c r="C274" i="5"/>
  <c r="B274" i="5"/>
  <c r="H283" i="5"/>
  <c r="I283" i="5"/>
  <c r="F283" i="5"/>
  <c r="C283" i="5"/>
  <c r="B283" i="5"/>
  <c r="H291" i="5"/>
  <c r="I291" i="5"/>
  <c r="F291" i="5"/>
  <c r="C291" i="5"/>
  <c r="B291" i="5"/>
  <c r="C230" i="5"/>
  <c r="B240" i="5"/>
  <c r="F240" i="5"/>
  <c r="C240" i="5"/>
  <c r="F242" i="5"/>
  <c r="I242" i="5"/>
  <c r="H242" i="5"/>
  <c r="B260" i="5"/>
  <c r="B268" i="5"/>
  <c r="B217" i="5"/>
  <c r="B219" i="5"/>
  <c r="C222" i="5"/>
  <c r="F230" i="5"/>
  <c r="B232" i="5"/>
  <c r="F232" i="5"/>
  <c r="C232" i="5"/>
  <c r="F234" i="5"/>
  <c r="I234" i="5"/>
  <c r="H234" i="5"/>
  <c r="H248" i="5"/>
  <c r="B250" i="5"/>
  <c r="B252" i="5"/>
  <c r="C255" i="5"/>
  <c r="B255" i="5"/>
  <c r="C260" i="5"/>
  <c r="C263" i="5"/>
  <c r="B263" i="5"/>
  <c r="C268" i="5"/>
  <c r="C271" i="5"/>
  <c r="B271" i="5"/>
  <c r="C276" i="5"/>
  <c r="C279" i="5"/>
  <c r="B279" i="5"/>
  <c r="C287" i="5"/>
  <c r="B287" i="5"/>
  <c r="I295" i="5"/>
  <c r="H295" i="5"/>
  <c r="F295" i="5"/>
  <c r="C295" i="5"/>
  <c r="B295" i="5"/>
  <c r="F222" i="5"/>
  <c r="H230" i="5"/>
  <c r="H240" i="5"/>
  <c r="B242" i="5"/>
  <c r="B244" i="5"/>
  <c r="C247" i="5"/>
  <c r="B247" i="5"/>
  <c r="C252" i="5"/>
  <c r="F260" i="5"/>
  <c r="F268" i="5"/>
  <c r="F276" i="5"/>
  <c r="F284" i="5"/>
  <c r="F292" i="5"/>
  <c r="B216" i="5"/>
  <c r="F216" i="5"/>
  <c r="I216" i="5" s="1"/>
  <c r="C216" i="5"/>
  <c r="F218" i="5"/>
  <c r="H218" i="5" s="1"/>
  <c r="I218" i="5"/>
  <c r="I230" i="5"/>
  <c r="C239" i="5"/>
  <c r="B239" i="5"/>
  <c r="C249" i="5"/>
  <c r="H249" i="5"/>
  <c r="F249" i="5"/>
  <c r="H251" i="5"/>
  <c r="I251" i="5"/>
  <c r="H260" i="5"/>
  <c r="I222" i="5"/>
  <c r="B228" i="5"/>
  <c r="C231" i="5"/>
  <c r="B231" i="5"/>
  <c r="I232" i="5"/>
  <c r="C234" i="5"/>
  <c r="C241" i="5"/>
  <c r="H241" i="5"/>
  <c r="F241" i="5"/>
  <c r="H243" i="5"/>
  <c r="I243" i="5"/>
  <c r="F244" i="5"/>
  <c r="H252" i="5"/>
  <c r="H255" i="5"/>
  <c r="H263" i="5"/>
  <c r="H271" i="5"/>
  <c r="H279" i="5"/>
  <c r="H287" i="5"/>
  <c r="C297" i="5"/>
  <c r="B297" i="5"/>
  <c r="I297" i="5"/>
  <c r="H297" i="5"/>
  <c r="F297" i="5"/>
  <c r="B218" i="5"/>
  <c r="B220" i="5"/>
  <c r="C223" i="5"/>
  <c r="B223" i="5"/>
  <c r="C228" i="5"/>
  <c r="C233" i="5"/>
  <c r="H233" i="5"/>
  <c r="F233" i="5"/>
  <c r="H235" i="5"/>
  <c r="I235" i="5"/>
  <c r="F239" i="5"/>
  <c r="H244" i="5"/>
  <c r="H247" i="5"/>
  <c r="B249" i="5"/>
  <c r="B251" i="5"/>
  <c r="I255" i="5"/>
  <c r="I263" i="5"/>
  <c r="I271" i="5"/>
  <c r="I279" i="5"/>
  <c r="I287" i="5"/>
  <c r="F298" i="5"/>
  <c r="C298" i="5"/>
  <c r="B298" i="5"/>
  <c r="I298" i="5"/>
  <c r="H298" i="5"/>
  <c r="C215" i="5"/>
  <c r="B215" i="5"/>
  <c r="C218" i="5"/>
  <c r="C220" i="5"/>
  <c r="F228" i="5"/>
  <c r="F231" i="5"/>
  <c r="H236" i="5"/>
  <c r="H239" i="5"/>
  <c r="B241" i="5"/>
  <c r="B243" i="5"/>
  <c r="I247" i="5"/>
  <c r="I249" i="5"/>
  <c r="C251" i="5"/>
  <c r="F254" i="5"/>
  <c r="H299" i="5"/>
  <c r="F299" i="5"/>
  <c r="C299" i="5"/>
  <c r="B299" i="5"/>
  <c r="I299" i="5"/>
  <c r="C217" i="5"/>
  <c r="F217" i="5"/>
  <c r="I217" i="5" s="1"/>
  <c r="H219" i="5"/>
  <c r="I219" i="5"/>
  <c r="H228" i="5"/>
  <c r="B248" i="5"/>
  <c r="F248" i="5"/>
  <c r="C248" i="5"/>
  <c r="F250" i="5"/>
  <c r="I250" i="5"/>
  <c r="H250" i="5"/>
  <c r="I300" i="5"/>
  <c r="H300" i="5"/>
  <c r="F300" i="5"/>
  <c r="C300" i="5"/>
  <c r="B300" i="5"/>
  <c r="C296" i="5"/>
  <c r="F296" i="5"/>
  <c r="H296" i="5"/>
  <c r="I296" i="5"/>
  <c r="H107" i="5" l="1"/>
  <c r="I107" i="5"/>
  <c r="I123" i="5"/>
  <c r="H83" i="5"/>
  <c r="I72" i="5"/>
  <c r="H10" i="5"/>
  <c r="I22" i="5"/>
  <c r="H22" i="5"/>
  <c r="I77" i="5"/>
  <c r="H92" i="5"/>
  <c r="I155" i="5"/>
  <c r="H193" i="5"/>
  <c r="I144" i="5"/>
  <c r="H144" i="5"/>
  <c r="H137" i="5"/>
  <c r="I64" i="5"/>
  <c r="I43" i="5"/>
  <c r="I84" i="5"/>
  <c r="I47" i="5"/>
  <c r="H11" i="5"/>
  <c r="I196" i="5"/>
  <c r="H196" i="5"/>
  <c r="I29" i="5"/>
  <c r="H29" i="5"/>
  <c r="I6" i="5"/>
  <c r="H6" i="5"/>
  <c r="H120" i="5"/>
  <c r="H89" i="5"/>
  <c r="I26" i="5"/>
  <c r="H169" i="5"/>
  <c r="H7" i="5"/>
  <c r="I70" i="5"/>
  <c r="I78" i="5"/>
  <c r="I27" i="5"/>
  <c r="I76" i="5"/>
  <c r="H62" i="5"/>
  <c r="H197" i="5"/>
  <c r="H216" i="5"/>
  <c r="I208" i="5"/>
  <c r="I180" i="5"/>
  <c r="H189" i="5"/>
  <c r="H206" i="5"/>
  <c r="I163" i="5"/>
  <c r="H68" i="5"/>
  <c r="I68" i="5"/>
  <c r="H217" i="5"/>
  <c r="H209" i="5"/>
  <c r="H118" i="5"/>
  <c r="I96" i="5"/>
  <c r="I16" i="5"/>
  <c r="I128" i="5"/>
  <c r="H161" i="5"/>
  <c r="H95" i="5"/>
  <c r="I31" i="5"/>
  <c r="I33" i="5"/>
  <c r="H8" i="5"/>
  <c r="I54" i="5"/>
  <c r="H54" i="5"/>
  <c r="I199" i="5"/>
  <c r="H199" i="5"/>
  <c r="H192" i="5"/>
  <c r="I45" i="5"/>
  <c r="H45" i="5"/>
  <c r="I166" i="5"/>
  <c r="H90" i="5"/>
  <c r="I171" i="5"/>
  <c r="H171" i="5"/>
  <c r="H117" i="5"/>
  <c r="I14" i="5"/>
  <c r="H182" i="5"/>
  <c r="H150" i="5"/>
  <c r="I38" i="5"/>
  <c r="H38" i="5"/>
  <c r="H181" i="5"/>
  <c r="H79" i="5"/>
  <c r="I116" i="5"/>
  <c r="H142" i="5"/>
  <c r="H97" i="5"/>
  <c r="H37" i="5"/>
  <c r="H165" i="5"/>
  <c r="H5" i="5"/>
  <c r="H139" i="5"/>
  <c r="I139" i="5"/>
  <c r="I160" i="5"/>
  <c r="H13" i="5"/>
  <c r="I13" i="5"/>
  <c r="H141" i="5"/>
  <c r="H61" i="5"/>
  <c r="I147" i="5"/>
  <c r="H10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<sst xmlns="http://schemas.openxmlformats.org/spreadsheetml/2006/main" count="19" uniqueCount="16">
  <si>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利用区分</t>
  </si>
  <si>
    <t>生年月日</t>
  </si>
  <si>
    <t>クラス年齢</t>
  </si>
  <si>
    <t xml:space="preserve">fo-mu </t>
  </si>
  <si>
    <t>氏名カナ</t>
  </si>
  <si>
    <t>未使用</t>
  </si>
  <si>
    <t>日付</t>
  </si>
  <si>
    <t>欠席理由</t>
  </si>
  <si>
    <t>登園時間</t>
  </si>
  <si>
    <t>降園時間</t>
  </si>
  <si>
    <t>お子さま</t>
    <rPh sb="1" eb="2">
      <t>コ</t>
    </rPh>
    <phoneticPr fontId="2"/>
  </si>
  <si>
    <t>フリガナ</t>
    <phoneticPr fontId="2"/>
  </si>
  <si>
    <t>性別</t>
    <rPh sb="0" eb="2">
      <t>セイベツ</t>
    </rPh>
    <phoneticPr fontId="2"/>
  </si>
  <si>
    <t>年齢</t>
    <rPh sb="0" eb="2">
      <t>ネンレイ</t>
    </rPh>
    <phoneticPr fontId="2"/>
  </si>
  <si>
    <t>生年月日</t>
    <rPh sb="0" eb="4">
      <t>セイネンガッピ</t>
    </rPh>
    <phoneticPr fontId="2"/>
  </si>
  <si>
    <t>保護者</t>
    <rPh sb="0" eb="3">
      <t>ホゴシャ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</si>
</sst>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hh:mm"/>
  </numFmts>
  <fonts count="16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9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FFA5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1"/>
      <color theme="0" tint="-0.499984740745262"/>
      <name val="メイリオ"/>
      <family val="3"/>
      <charset val="128"/>
    </font>
    <font>
      <sz val="8"/>
      <color rgb="FF555555"/>
      <name val="メイリオ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FFC0CB"/>
      </patternFill>
    </fill>
    <fill>
      <patternFill patternType="solid">
        <fgColor indexed="9"/>
      </patternFill>
    </fill>
    <fill>
      <patternFill patternType="solid">
        <fgColor rgb="FFD6D6D6"/>
      </patternFill>
    </fill>
    <fill>
      <patternFill patternType="solid">
        <fgColor rgb="FFFFE6FA"/>
      </patternFill>
    </fill>
    <fill>
      <patternFill patternType="solid">
        <fgColor rgb="FFFFE8D8"/>
      </patternFill>
    </fill>
    <fill>
      <patternFill patternType="solid">
        <fgColor rgb="FFFFFECF"/>
      </patternFill>
    </fill>
    <fill>
      <patternFill patternType="solid">
        <fgColor rgb="FFF8FFCF"/>
      </patternFill>
    </fill>
    <fill>
      <patternFill patternType="solid">
        <fgColor rgb="FFDFFFDF"/>
      </patternFill>
    </fill>
    <fill>
      <patternFill patternType="solid">
        <fgColor rgb="FFD8FFFF"/>
      </patternFill>
    </fill>
    <fill>
      <patternFill patternType="solid">
        <fgColor rgb="FFCEE7FF"/>
      </patternFill>
    </fill>
    <fill>
      <patternFill patternType="solid">
        <fgColor rgb="FFFFFFFF"/>
      </patternFill>
    </fill>
    <fill>
      <patternFill patternType="none">
        <fgColor rgb="FF6EBAA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5B5B5"/>
      </patternFill>
    </fill>
    <fill>
      <patternFill patternType="solid">
        <fgColor rgb="FFFFFFFF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D8E4F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8000"/>
      </left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8000"/>
      </left>
      <right style="medium">
        <color rgb="FF008000"/>
      </right>
      <top style="medium">
        <color rgb="FF008000"/>
      </top>
      <bottom style="thin">
        <color rgb="FF000000"/>
      </bottom>
      <diagonal/>
    </border>
    <border>
      <left style="medium">
        <color rgb="FF008000"/>
      </left>
      <right style="medium">
        <color rgb="FF008000"/>
      </right>
      <top style="thin">
        <color rgb="FF000000"/>
      </top>
      <bottom style="medium">
        <color rgb="FF008000"/>
      </bottom>
      <diagonal/>
    </border>
    <border>
      <left/>
      <right style="dotted">
        <color rgb="FFFF7E73"/>
      </right>
      <top/>
      <bottom style="medium">
        <color rgb="FFFF7E73"/>
      </bottom>
      <diagonal/>
    </border>
    <border>
      <left/>
      <right/>
      <top/>
      <bottom style="medium">
        <color rgb="FFFF7E73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14" borderId="0">
      <alignment vertical="center"/>
    </xf>
    <xf numFmtId="0" fontId="1" fillId="14" borderId="0">
      <alignment vertical="center"/>
    </xf>
    <xf numFmtId="0" fontId="11" fillId="14" borderId="0"/>
  </cellStyleXfs>
  <cellXfs count="67">
    <xf numFmtId="0" fontId="0" fillId="0" borderId="0" xfId="0"/>
    <xf numFmtId="49" fontId="0" fillId="0" borderId="0" xfId="0" applyNumberForma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13" fillId="15" borderId="6" xfId="3" applyFont="1" applyFill="1" applyBorder="1" applyAlignment="1" applyProtection="1">
      <alignment horizontal="center" vertical="center"/>
      <protection hidden="1"/>
    </xf>
    <xf numFmtId="0" fontId="14" fillId="16" borderId="6" xfId="3" applyFont="1" applyFill="1" applyBorder="1" applyAlignment="1" applyProtection="1">
      <alignment horizontal="center" vertical="center" shrinkToFit="1"/>
      <protection hidden="1"/>
    </xf>
    <xf numFmtId="0" fontId="14" fillId="16" borderId="6" xfId="3" applyFont="1" applyFill="1" applyBorder="1" applyAlignment="1" applyProtection="1">
      <alignment horizontal="center" vertical="center"/>
      <protection hidden="1"/>
    </xf>
    <xf numFmtId="0" fontId="12" fillId="14" borderId="6" xfId="3" applyFont="1" applyBorder="1" applyProtection="1">
      <protection hidden="1"/>
    </xf>
    <xf numFmtId="176" fontId="12" fillId="14" borderId="6" xfId="3" applyNumberFormat="1" applyFont="1" applyBorder="1" applyProtection="1">
      <protection hidden="1"/>
    </xf>
    <xf numFmtId="176" fontId="12" fillId="16" borderId="6" xfId="3" applyNumberFormat="1" applyFont="1" applyFill="1" applyBorder="1" applyProtection="1">
      <protection hidden="1"/>
    </xf>
    <xf numFmtId="0" fontId="12" fillId="16" borderId="6" xfId="3" applyFont="1" applyFill="1" applyBorder="1" applyProtection="1">
      <protection hidden="1"/>
    </xf>
    <xf numFmtId="0" fontId="0" fillId="0" borderId="0" xfId="0" applyAlignment="1">
      <alignment vertical="center"/>
    </xf>
    <xf numFmtId="0" fontId="3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12" fillId="14" borderId="6" xfId="3" applyNumberFormat="1" applyFont="1" applyBorder="1" applyAlignment="1" applyProtection="1">
      <alignment horizontal="center"/>
      <protection hidden="1"/>
    </xf>
    <xf numFmtId="0" fontId="15" fillId="19" borderId="10" xfId="0" applyFont="1" applyFill="1" applyBorder="1" applyAlignment="1">
      <alignment horizontal="center" vertical="center" wrapText="1"/>
    </xf>
    <xf numFmtId="0" fontId="15" fillId="19" borderId="10" xfId="0" applyFont="1" applyFill="1" applyBorder="1" applyAlignment="1">
      <alignment horizontal="center" vertical="center"/>
    </xf>
    <xf numFmtId="0" fontId="15" fillId="19" borderId="11" xfId="0" applyFont="1" applyFill="1" applyBorder="1" applyAlignment="1">
      <alignment horizontal="center" vertical="center" wrapText="1"/>
    </xf>
    <xf numFmtId="0" fontId="15" fillId="18" borderId="10" xfId="0" applyFont="1" applyFill="1" applyBorder="1" applyAlignment="1">
      <alignment horizontal="center" vertical="center" wrapText="1"/>
    </xf>
    <xf numFmtId="0" fontId="15" fillId="18" borderId="10" xfId="0" applyFont="1" applyFill="1" applyBorder="1" applyAlignment="1">
      <alignment horizontal="center" vertical="center"/>
    </xf>
    <xf numFmtId="0" fontId="15" fillId="18" borderId="11" xfId="0" applyFont="1" applyFill="1" applyBorder="1" applyAlignment="1">
      <alignment horizontal="center" vertical="center" wrapText="1"/>
    </xf>
    <xf numFmtId="0" fontId="15" fillId="20" borderId="10" xfId="0" applyFont="1" applyFill="1" applyBorder="1" applyAlignment="1">
      <alignment horizontal="center" vertical="center" wrapText="1"/>
    </xf>
    <xf numFmtId="0" fontId="15" fillId="20" borderId="10" xfId="0" applyFont="1" applyFill="1" applyBorder="1" applyAlignment="1">
      <alignment horizontal="center" vertical="center"/>
    </xf>
    <xf numFmtId="0" fontId="15" fillId="20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vertical="center" wrapText="1"/>
    </xf>
    <xf numFmtId="0" fontId="0" fillId="0" borderId="2" xfId="0" applyBorder="1"/>
    <xf numFmtId="0" fontId="5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5" fillId="17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5" xfId="0" applyBorder="1"/>
    <xf numFmtId="0" fontId="0" fillId="0" borderId="13" xfId="0" applyBorder="1"/>
  </cellXfs>
  <cellStyles count="4">
    <cellStyle name="標準" xfId="0" builtinId="0"/>
    <cellStyle name="標準 3" xfId="3" xr:uid="{00000000-0005-0000-0000-000003000000}"/>
    <cellStyle name="標準 4 2 2" xfId="1" xr:uid="{00000000-0005-0000-0000-000001000000}"/>
    <cellStyle name="標準 4 2 2 2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3"/>
  <sheetViews>
    <sheetView workbookViewId="0">
      <selection sqref="A1:XFD1048576"/>
    </sheetView>
  </sheetViews>
  <sheetFormatPr defaultColWidth="9" defaultRowHeight="13.2" x14ac:dyDescent="0.2"/>
  <cols>
    <col min="1" max="1" width="12" style="1" customWidth="1" collapsed="1"/>
    <col min="2" max="2" width="24" style="1" customWidth="1" collapsed="1"/>
    <col min="3" max="3" width="6" style="1" customWidth="1" collapsed="1"/>
    <col min="4" max="4" width="7" style="1" customWidth="1" collapsed="1"/>
    <col min="5" max="7" width="9" style="4" customWidth="1" collapsed="1"/>
    <col min="8" max="16384" width="9" style="4" collapsed="1"/>
  </cols>
  <sheetData>
    <row r="1" spans="1:36" ht="7.5" customHeight="1" x14ac:dyDescent="0.2"/>
    <row r="2" spans="1:36" s="5" customFormat="1" x14ac:dyDescent="0.2">
      <c r="A2" s="6"/>
      <c r="B2" s="2"/>
      <c r="C2" s="1"/>
      <c r="D2" s="1"/>
    </row>
    <row r="3" spans="1:36" s="5" customFormat="1" ht="7.5" customHeight="1" thickBot="1" x14ac:dyDescent="0.25">
      <c r="A3" s="3"/>
      <c r="B3" s="3"/>
      <c r="C3" s="3"/>
      <c r="D3" s="3"/>
    </row>
    <row r="4" spans="1:36" s="5" customFormat="1" ht="13.8" customHeight="1" thickBot="1" x14ac:dyDescent="0.25">
      <c r="A4" s="38"/>
      <c r="B4" s="38"/>
      <c r="C4" s="38"/>
      <c r="F4" s="11"/>
      <c r="G4" s="12"/>
      <c r="H4" s="16"/>
      <c r="I4" s="17"/>
      <c r="J4" s="13"/>
      <c r="K4" s="14"/>
      <c r="L4" s="11"/>
      <c r="M4" s="18"/>
      <c r="N4" s="19"/>
    </row>
    <row r="5" spans="1:36" ht="7.5" customHeight="1" x14ac:dyDescent="0.2">
      <c r="A5" s="2"/>
      <c r="B5" s="2"/>
    </row>
    <row r="6" spans="1:36" x14ac:dyDescent="0.2">
      <c r="A6" s="63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ht="13.8" customHeight="1" thickBot="1" x14ac:dyDescent="0.25">
      <c r="A7" s="66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x14ac:dyDescent="0.2">
      <c r="A8" s="55"/>
      <c r="B8" s="9"/>
      <c r="C8" s="58"/>
      <c r="D8" s="58"/>
      <c r="E8" s="58"/>
      <c r="F8" s="15"/>
      <c r="G8" s="15"/>
      <c r="H8" s="15"/>
      <c r="I8" s="58"/>
      <c r="J8" s="57"/>
      <c r="K8" s="15"/>
      <c r="L8" s="15"/>
      <c r="M8" s="15"/>
      <c r="N8" s="15"/>
      <c r="O8" s="15"/>
      <c r="P8" s="58"/>
      <c r="Q8" s="57"/>
      <c r="R8" s="15"/>
      <c r="S8" s="15"/>
      <c r="T8" s="15"/>
      <c r="U8" s="15"/>
      <c r="V8" s="15"/>
      <c r="W8" s="58"/>
      <c r="X8" s="57"/>
      <c r="Y8" s="15"/>
      <c r="Z8" s="15"/>
      <c r="AA8" s="15"/>
      <c r="AB8" s="15"/>
      <c r="AC8" s="39"/>
      <c r="AD8" s="58"/>
      <c r="AE8" s="57"/>
      <c r="AF8" s="39"/>
      <c r="AG8" s="15"/>
      <c r="AH8" s="15"/>
      <c r="AI8" s="15"/>
      <c r="AJ8" s="15"/>
    </row>
    <row r="9" spans="1:36" ht="13.8" customHeight="1" thickBot="1" x14ac:dyDescent="0.25">
      <c r="A9" s="56"/>
      <c r="B9" s="10"/>
      <c r="C9" s="56"/>
      <c r="D9" s="56"/>
      <c r="E9" s="56"/>
      <c r="F9" s="15"/>
      <c r="G9" s="15"/>
      <c r="H9" s="15"/>
      <c r="I9" s="56"/>
      <c r="J9" s="56"/>
      <c r="K9" s="15"/>
      <c r="L9" s="15"/>
      <c r="M9" s="15"/>
      <c r="N9" s="15"/>
      <c r="O9" s="15"/>
      <c r="P9" s="56"/>
      <c r="Q9" s="56"/>
      <c r="R9" s="15"/>
      <c r="S9" s="15"/>
      <c r="T9" s="15"/>
      <c r="U9" s="15"/>
      <c r="V9" s="15"/>
      <c r="W9" s="56"/>
      <c r="X9" s="56"/>
      <c r="Y9" s="15"/>
      <c r="Z9" s="15"/>
      <c r="AA9" s="15"/>
      <c r="AB9" s="15"/>
      <c r="AC9" s="40"/>
      <c r="AD9" s="56"/>
      <c r="AE9" s="56"/>
      <c r="AF9" s="40"/>
      <c r="AG9" s="15"/>
      <c r="AH9" s="15"/>
      <c r="AI9" s="15"/>
      <c r="AJ9" s="15"/>
    </row>
    <row r="10" spans="1:36" x14ac:dyDescent="0.2">
      <c r="A10" s="55"/>
      <c r="B10" s="9"/>
      <c r="C10" s="58"/>
      <c r="D10" s="58"/>
      <c r="E10" s="58"/>
      <c r="F10" s="58"/>
      <c r="G10" s="58"/>
      <c r="H10" s="58"/>
      <c r="I10" s="58"/>
      <c r="J10" s="57"/>
      <c r="K10" s="58"/>
      <c r="L10" s="58"/>
      <c r="M10" s="58"/>
      <c r="N10" s="58"/>
      <c r="O10" s="58"/>
      <c r="P10" s="58"/>
      <c r="Q10" s="57"/>
      <c r="R10" s="57"/>
      <c r="S10" s="58"/>
      <c r="T10" s="58"/>
      <c r="U10" s="58"/>
      <c r="V10" s="58"/>
      <c r="W10" s="58"/>
      <c r="X10" s="57"/>
      <c r="Y10" s="58"/>
      <c r="Z10" s="58"/>
      <c r="AA10" s="58"/>
      <c r="AB10" s="58"/>
      <c r="AC10" s="15"/>
      <c r="AD10" s="58"/>
      <c r="AE10" s="57"/>
      <c r="AF10" s="58"/>
      <c r="AG10" s="58"/>
      <c r="AH10" s="58"/>
      <c r="AI10" s="58"/>
      <c r="AJ10" s="58"/>
    </row>
    <row r="11" spans="1:36" x14ac:dyDescent="0.2">
      <c r="A11" s="56"/>
      <c r="B11" s="10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15"/>
      <c r="AD11" s="56"/>
      <c r="AE11" s="56"/>
      <c r="AF11" s="56"/>
      <c r="AG11" s="56"/>
      <c r="AH11" s="56"/>
      <c r="AI11" s="56"/>
      <c r="AJ11" s="56"/>
    </row>
    <row r="12" spans="1:36" x14ac:dyDescent="0.2">
      <c r="A12" s="55"/>
      <c r="B12" s="9"/>
      <c r="C12" s="58"/>
      <c r="D12" s="58"/>
      <c r="E12" s="58"/>
      <c r="F12" s="15"/>
      <c r="G12" s="15"/>
      <c r="H12" s="15"/>
      <c r="I12" s="15"/>
      <c r="J12" s="57"/>
      <c r="K12" s="15"/>
      <c r="L12" s="58"/>
      <c r="M12" s="15"/>
      <c r="N12" s="58"/>
      <c r="O12" s="15"/>
      <c r="P12" s="58"/>
      <c r="Q12" s="57"/>
      <c r="R12" s="57"/>
      <c r="S12" s="58"/>
      <c r="T12" s="15"/>
      <c r="U12" s="58"/>
      <c r="V12" s="58"/>
      <c r="W12" s="15"/>
      <c r="X12" s="57"/>
      <c r="Y12" s="15"/>
      <c r="Z12" s="15"/>
      <c r="AA12" s="15"/>
      <c r="AB12" s="58"/>
      <c r="AC12" s="15"/>
      <c r="AD12" s="15"/>
      <c r="AE12" s="57"/>
      <c r="AF12" s="15"/>
      <c r="AG12" s="15"/>
      <c r="AH12" s="15"/>
      <c r="AI12" s="15"/>
      <c r="AJ12" s="15"/>
    </row>
    <row r="13" spans="1:36" x14ac:dyDescent="0.2">
      <c r="A13" s="56"/>
      <c r="B13" s="10"/>
      <c r="C13" s="56"/>
      <c r="D13" s="56"/>
      <c r="E13" s="56"/>
      <c r="F13" s="15"/>
      <c r="G13" s="15"/>
      <c r="H13" s="15"/>
      <c r="I13" s="15"/>
      <c r="J13" s="56"/>
      <c r="K13" s="15"/>
      <c r="L13" s="56"/>
      <c r="M13" s="15"/>
      <c r="N13" s="56"/>
      <c r="O13" s="15"/>
      <c r="P13" s="56"/>
      <c r="Q13" s="56"/>
      <c r="R13" s="56"/>
      <c r="S13" s="56"/>
      <c r="T13" s="15"/>
      <c r="U13" s="56"/>
      <c r="V13" s="56"/>
      <c r="W13" s="15"/>
      <c r="X13" s="56"/>
      <c r="Y13" s="15"/>
      <c r="Z13" s="15"/>
      <c r="AA13" s="15"/>
      <c r="AB13" s="56"/>
      <c r="AC13" s="15"/>
      <c r="AD13" s="15"/>
      <c r="AE13" s="56"/>
      <c r="AF13" s="15"/>
      <c r="AG13" s="15"/>
      <c r="AH13" s="15"/>
      <c r="AI13" s="15"/>
      <c r="AJ13" s="15"/>
    </row>
    <row r="14" spans="1:36" x14ac:dyDescent="0.2">
      <c r="A14" s="55"/>
      <c r="B14" s="9"/>
      <c r="C14" s="58"/>
      <c r="D14" s="58"/>
      <c r="E14" s="58"/>
      <c r="F14" s="58"/>
      <c r="G14" s="15"/>
      <c r="H14" s="15"/>
      <c r="I14" s="58"/>
      <c r="J14" s="57"/>
      <c r="K14" s="58"/>
      <c r="L14" s="15"/>
      <c r="M14" s="58"/>
      <c r="N14" s="58"/>
      <c r="O14" s="15"/>
      <c r="P14" s="58"/>
      <c r="Q14" s="57"/>
      <c r="R14" s="57"/>
      <c r="S14" s="15"/>
      <c r="T14" s="58"/>
      <c r="U14" s="58"/>
      <c r="V14" s="15"/>
      <c r="W14" s="58"/>
      <c r="X14" s="57"/>
      <c r="Y14" s="15"/>
      <c r="Z14" s="15"/>
      <c r="AA14" s="58"/>
      <c r="AB14" s="15"/>
      <c r="AC14" s="58"/>
      <c r="AD14" s="58"/>
      <c r="AE14" s="57"/>
      <c r="AF14" s="58"/>
      <c r="AG14" s="58"/>
      <c r="AH14" s="15"/>
      <c r="AI14" s="58"/>
      <c r="AJ14" s="15"/>
    </row>
    <row r="15" spans="1:36" x14ac:dyDescent="0.2">
      <c r="A15" s="56"/>
      <c r="B15" s="10"/>
      <c r="C15" s="56"/>
      <c r="D15" s="56"/>
      <c r="E15" s="56"/>
      <c r="F15" s="56"/>
      <c r="G15" s="15"/>
      <c r="H15" s="15"/>
      <c r="I15" s="56"/>
      <c r="J15" s="56"/>
      <c r="K15" s="56"/>
      <c r="L15" s="15"/>
      <c r="M15" s="56"/>
      <c r="N15" s="56"/>
      <c r="O15" s="15"/>
      <c r="P15" s="56"/>
      <c r="Q15" s="56"/>
      <c r="R15" s="56"/>
      <c r="S15" s="15"/>
      <c r="T15" s="56"/>
      <c r="U15" s="56"/>
      <c r="V15" s="15"/>
      <c r="W15" s="56"/>
      <c r="X15" s="56"/>
      <c r="Y15" s="15"/>
      <c r="Z15" s="15"/>
      <c r="AA15" s="56"/>
      <c r="AB15" s="15"/>
      <c r="AC15" s="56"/>
      <c r="AD15" s="56"/>
      <c r="AE15" s="56"/>
      <c r="AF15" s="56"/>
      <c r="AG15" s="56"/>
      <c r="AH15" s="15"/>
      <c r="AI15" s="56"/>
      <c r="AJ15" s="15"/>
    </row>
    <row r="16" spans="1:36" x14ac:dyDescent="0.2">
      <c r="A16" s="55"/>
      <c r="B16" s="9"/>
      <c r="C16" s="58"/>
      <c r="D16" s="58"/>
      <c r="E16" s="58"/>
      <c r="F16" s="15"/>
      <c r="G16" s="15"/>
      <c r="H16" s="15"/>
      <c r="I16" s="58"/>
      <c r="J16" s="57"/>
      <c r="K16" s="15"/>
      <c r="L16" s="58"/>
      <c r="M16" s="15"/>
      <c r="N16" s="58"/>
      <c r="O16" s="15"/>
      <c r="P16" s="58"/>
      <c r="Q16" s="57"/>
      <c r="R16" s="57"/>
      <c r="S16" s="58"/>
      <c r="T16" s="15"/>
      <c r="U16" s="58"/>
      <c r="V16" s="15"/>
      <c r="W16" s="58"/>
      <c r="X16" s="57"/>
      <c r="Y16" s="58"/>
      <c r="Z16" s="58"/>
      <c r="AA16" s="15"/>
      <c r="AB16" s="15"/>
      <c r="AC16" s="58"/>
      <c r="AD16" s="58"/>
      <c r="AE16" s="57"/>
      <c r="AF16" s="58"/>
      <c r="AG16" s="15"/>
      <c r="AH16" s="58"/>
      <c r="AI16" s="58"/>
      <c r="AJ16" s="58"/>
    </row>
    <row r="17" spans="1:36" x14ac:dyDescent="0.2">
      <c r="A17" s="56"/>
      <c r="B17" s="10"/>
      <c r="C17" s="56"/>
      <c r="D17" s="56"/>
      <c r="E17" s="56"/>
      <c r="F17" s="15"/>
      <c r="G17" s="15"/>
      <c r="H17" s="15"/>
      <c r="I17" s="56"/>
      <c r="J17" s="56"/>
      <c r="K17" s="15"/>
      <c r="L17" s="56"/>
      <c r="M17" s="15"/>
      <c r="N17" s="56"/>
      <c r="O17" s="15"/>
      <c r="P17" s="56"/>
      <c r="Q17" s="56"/>
      <c r="R17" s="56"/>
      <c r="S17" s="56"/>
      <c r="T17" s="15"/>
      <c r="U17" s="56"/>
      <c r="V17" s="15"/>
      <c r="W17" s="56"/>
      <c r="X17" s="56"/>
      <c r="Y17" s="56"/>
      <c r="Z17" s="56"/>
      <c r="AA17" s="15"/>
      <c r="AB17" s="15"/>
      <c r="AC17" s="56"/>
      <c r="AD17" s="56"/>
      <c r="AE17" s="56"/>
      <c r="AF17" s="56"/>
      <c r="AG17" s="15"/>
      <c r="AH17" s="56"/>
      <c r="AI17" s="56"/>
      <c r="AJ17" s="56"/>
    </row>
    <row r="18" spans="1:36" x14ac:dyDescent="0.2">
      <c r="A18" s="55"/>
      <c r="B18" s="9"/>
      <c r="C18" s="58"/>
      <c r="D18" s="58"/>
      <c r="E18" s="58"/>
      <c r="F18" s="15"/>
      <c r="G18" s="15"/>
      <c r="H18" s="58"/>
      <c r="I18" s="58"/>
      <c r="J18" s="57"/>
      <c r="K18" s="58"/>
      <c r="L18" s="58"/>
      <c r="M18" s="15"/>
      <c r="N18" s="58"/>
      <c r="O18" s="58"/>
      <c r="P18" s="58"/>
      <c r="Q18" s="57"/>
      <c r="R18" s="57"/>
      <c r="S18" s="58"/>
      <c r="T18" s="15"/>
      <c r="U18" s="58"/>
      <c r="V18" s="15"/>
      <c r="W18" s="58"/>
      <c r="X18" s="57"/>
      <c r="Y18" s="58"/>
      <c r="Z18" s="58"/>
      <c r="AA18" s="15"/>
      <c r="AB18" s="58"/>
      <c r="AC18" s="58"/>
      <c r="AD18" s="58"/>
      <c r="AE18" s="57"/>
      <c r="AF18" s="58"/>
      <c r="AG18" s="15"/>
      <c r="AH18" s="58"/>
      <c r="AI18" s="58"/>
      <c r="AJ18" s="58"/>
    </row>
    <row r="19" spans="1:36" x14ac:dyDescent="0.2">
      <c r="A19" s="56"/>
      <c r="B19" s="10"/>
      <c r="C19" s="56"/>
      <c r="D19" s="56"/>
      <c r="E19" s="56"/>
      <c r="F19" s="15"/>
      <c r="G19" s="15"/>
      <c r="H19" s="56"/>
      <c r="I19" s="56"/>
      <c r="J19" s="56"/>
      <c r="K19" s="56"/>
      <c r="L19" s="56"/>
      <c r="M19" s="15"/>
      <c r="N19" s="56"/>
      <c r="O19" s="56"/>
      <c r="P19" s="56"/>
      <c r="Q19" s="56"/>
      <c r="R19" s="56"/>
      <c r="S19" s="56"/>
      <c r="T19" s="15"/>
      <c r="U19" s="56"/>
      <c r="V19" s="15"/>
      <c r="W19" s="56"/>
      <c r="X19" s="56"/>
      <c r="Y19" s="56"/>
      <c r="Z19" s="56"/>
      <c r="AA19" s="15"/>
      <c r="AB19" s="56"/>
      <c r="AC19" s="56"/>
      <c r="AD19" s="56"/>
      <c r="AE19" s="56"/>
      <c r="AF19" s="56"/>
      <c r="AG19" s="15"/>
      <c r="AH19" s="56"/>
      <c r="AI19" s="56"/>
      <c r="AJ19" s="56"/>
    </row>
    <row r="20" spans="1:36" x14ac:dyDescent="0.2">
      <c r="A20" s="55"/>
      <c r="B20" s="9"/>
      <c r="C20" s="58"/>
      <c r="D20" s="58"/>
      <c r="E20" s="58"/>
      <c r="F20" s="15"/>
      <c r="G20" s="58"/>
      <c r="H20" s="15"/>
      <c r="I20" s="58"/>
      <c r="J20" s="57"/>
      <c r="K20" s="58"/>
      <c r="L20" s="58"/>
      <c r="M20" s="58"/>
      <c r="N20" s="58"/>
      <c r="O20" s="58"/>
      <c r="P20" s="58"/>
      <c r="Q20" s="57"/>
      <c r="R20" s="57"/>
      <c r="S20" s="58"/>
      <c r="T20" s="58"/>
      <c r="U20" s="58"/>
      <c r="V20" s="58"/>
      <c r="W20" s="58"/>
      <c r="X20" s="57"/>
      <c r="Y20" s="58"/>
      <c r="Z20" s="58"/>
      <c r="AA20" s="58"/>
      <c r="AB20" s="58"/>
      <c r="AC20" s="15"/>
      <c r="AD20" s="58"/>
      <c r="AE20" s="57"/>
      <c r="AF20" s="58"/>
      <c r="AG20" s="58"/>
      <c r="AH20" s="58"/>
      <c r="AI20" s="58"/>
      <c r="AJ20" s="58"/>
    </row>
    <row r="21" spans="1:36" x14ac:dyDescent="0.2">
      <c r="A21" s="56"/>
      <c r="B21" s="10"/>
      <c r="C21" s="56"/>
      <c r="D21" s="56"/>
      <c r="E21" s="56"/>
      <c r="F21" s="15"/>
      <c r="G21" s="56"/>
      <c r="H21" s="15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15"/>
      <c r="AD21" s="56"/>
      <c r="AE21" s="56"/>
      <c r="AF21" s="56"/>
      <c r="AG21" s="56"/>
      <c r="AH21" s="56"/>
      <c r="AI21" s="56"/>
      <c r="AJ21" s="56"/>
    </row>
    <row r="22" spans="1:36" x14ac:dyDescent="0.2">
      <c r="A22" s="55"/>
      <c r="B22" s="9"/>
      <c r="C22" s="58"/>
      <c r="D22" s="58"/>
      <c r="E22" s="58"/>
      <c r="F22" s="58"/>
      <c r="G22" s="58"/>
      <c r="H22" s="58"/>
      <c r="I22" s="58"/>
      <c r="J22" s="57"/>
      <c r="K22" s="58"/>
      <c r="L22" s="58"/>
      <c r="M22" s="58"/>
      <c r="N22" s="58"/>
      <c r="O22" s="58"/>
      <c r="P22" s="58"/>
      <c r="Q22" s="57"/>
      <c r="R22" s="57"/>
      <c r="S22" s="58"/>
      <c r="T22" s="58"/>
      <c r="U22" s="58"/>
      <c r="V22" s="58"/>
      <c r="W22" s="58"/>
      <c r="X22" s="57"/>
      <c r="Y22" s="58"/>
      <c r="Z22" s="58"/>
      <c r="AA22" s="58"/>
      <c r="AB22" s="58"/>
      <c r="AC22" s="58"/>
      <c r="AD22" s="58"/>
      <c r="AE22" s="57"/>
      <c r="AF22" s="58"/>
      <c r="AG22" s="58"/>
      <c r="AH22" s="58"/>
      <c r="AI22" s="58"/>
      <c r="AJ22" s="58"/>
    </row>
    <row r="23" spans="1:36" x14ac:dyDescent="0.2">
      <c r="A23" s="56"/>
      <c r="B23" s="10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</row>
    <row r="24" spans="1:36" x14ac:dyDescent="0.2">
      <c r="A24" s="55"/>
      <c r="B24" s="9"/>
      <c r="C24" s="58"/>
      <c r="D24" s="58"/>
      <c r="E24" s="58"/>
      <c r="F24" s="58"/>
      <c r="G24" s="15"/>
      <c r="H24" s="58"/>
      <c r="I24" s="58"/>
      <c r="J24" s="57"/>
      <c r="K24" s="58"/>
      <c r="L24" s="58"/>
      <c r="M24" s="58"/>
      <c r="N24" s="58"/>
      <c r="O24" s="58"/>
      <c r="P24" s="58"/>
      <c r="Q24" s="57"/>
      <c r="R24" s="57"/>
      <c r="S24" s="58"/>
      <c r="T24" s="58"/>
      <c r="U24" s="58"/>
      <c r="V24" s="58"/>
      <c r="W24" s="58"/>
      <c r="X24" s="57"/>
      <c r="Y24" s="58"/>
      <c r="Z24" s="15"/>
      <c r="AA24" s="58"/>
      <c r="AB24" s="58"/>
      <c r="AC24" s="58"/>
      <c r="AD24" s="58"/>
      <c r="AE24" s="57"/>
      <c r="AF24" s="58"/>
      <c r="AG24" s="58"/>
      <c r="AH24" s="15"/>
      <c r="AI24" s="58"/>
      <c r="AJ24" s="58"/>
    </row>
    <row r="25" spans="1:36" x14ac:dyDescent="0.2">
      <c r="A25" s="56"/>
      <c r="B25" s="10"/>
      <c r="C25" s="56"/>
      <c r="D25" s="56"/>
      <c r="E25" s="56"/>
      <c r="F25" s="56"/>
      <c r="G25" s="15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15"/>
      <c r="AA25" s="56"/>
      <c r="AB25" s="56"/>
      <c r="AC25" s="56"/>
      <c r="AD25" s="56"/>
      <c r="AE25" s="56"/>
      <c r="AF25" s="56"/>
      <c r="AG25" s="56"/>
      <c r="AH25" s="15"/>
      <c r="AI25" s="56"/>
      <c r="AJ25" s="56"/>
    </row>
    <row r="26" spans="1:36" x14ac:dyDescent="0.2">
      <c r="A26" s="55"/>
      <c r="B26" s="9"/>
      <c r="C26" s="58"/>
      <c r="D26" s="58"/>
      <c r="E26" s="58"/>
      <c r="F26" s="15"/>
      <c r="G26" s="58"/>
      <c r="H26" s="58"/>
      <c r="I26" s="58"/>
      <c r="J26" s="57"/>
      <c r="K26" s="58"/>
      <c r="L26" s="15"/>
      <c r="M26" s="15"/>
      <c r="N26" s="58"/>
      <c r="O26" s="58"/>
      <c r="P26" s="58"/>
      <c r="Q26" s="57"/>
      <c r="R26" s="57"/>
      <c r="S26" s="58"/>
      <c r="T26" s="58"/>
      <c r="U26" s="58"/>
      <c r="V26" s="58"/>
      <c r="W26" s="58"/>
      <c r="X26" s="57"/>
      <c r="Y26" s="58"/>
      <c r="Z26" s="58"/>
      <c r="AA26" s="58"/>
      <c r="AB26" s="58"/>
      <c r="AC26" s="58"/>
      <c r="AD26" s="58"/>
      <c r="AE26" s="57"/>
      <c r="AF26" s="58"/>
      <c r="AG26" s="58"/>
      <c r="AH26" s="15"/>
      <c r="AI26" s="58"/>
      <c r="AJ26" s="58"/>
    </row>
    <row r="27" spans="1:36" x14ac:dyDescent="0.2">
      <c r="A27" s="56"/>
      <c r="B27" s="10"/>
      <c r="C27" s="56"/>
      <c r="D27" s="56"/>
      <c r="E27" s="56"/>
      <c r="F27" s="15"/>
      <c r="G27" s="56"/>
      <c r="H27" s="56"/>
      <c r="I27" s="56"/>
      <c r="J27" s="56"/>
      <c r="K27" s="56"/>
      <c r="L27" s="15"/>
      <c r="M27" s="15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15"/>
      <c r="AI27" s="56"/>
      <c r="AJ27" s="56"/>
    </row>
    <row r="28" spans="1:36" x14ac:dyDescent="0.2">
      <c r="A28" s="55"/>
      <c r="B28" s="9"/>
      <c r="C28" s="58"/>
      <c r="D28" s="58"/>
      <c r="E28" s="58"/>
      <c r="F28" s="58"/>
      <c r="G28" s="15"/>
      <c r="H28" s="58"/>
      <c r="I28" s="58"/>
      <c r="J28" s="57"/>
      <c r="K28" s="58"/>
      <c r="L28" s="58"/>
      <c r="M28" s="58"/>
      <c r="N28" s="58"/>
      <c r="O28" s="58"/>
      <c r="P28" s="58"/>
      <c r="Q28" s="57"/>
      <c r="R28" s="57"/>
      <c r="S28" s="58"/>
      <c r="T28" s="58"/>
      <c r="U28" s="15"/>
      <c r="V28" s="58"/>
      <c r="W28" s="58"/>
      <c r="X28" s="57"/>
      <c r="Y28" s="58"/>
      <c r="Z28" s="58"/>
      <c r="AA28" s="58"/>
      <c r="AB28" s="58"/>
      <c r="AC28" s="58"/>
      <c r="AD28" s="58"/>
      <c r="AE28" s="57"/>
      <c r="AF28" s="58"/>
      <c r="AG28" s="58"/>
      <c r="AH28" s="58"/>
      <c r="AI28" s="58"/>
      <c r="AJ28" s="58"/>
    </row>
    <row r="29" spans="1:36" x14ac:dyDescent="0.2">
      <c r="A29" s="56"/>
      <c r="B29" s="10"/>
      <c r="C29" s="56"/>
      <c r="D29" s="56"/>
      <c r="E29" s="56"/>
      <c r="F29" s="56"/>
      <c r="G29" s="15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15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</row>
    <row r="30" spans="1:36" x14ac:dyDescent="0.2">
      <c r="A30" s="55"/>
      <c r="B30" s="9"/>
      <c r="C30" s="58"/>
      <c r="D30" s="58"/>
      <c r="E30" s="58"/>
      <c r="F30" s="58"/>
      <c r="G30" s="58"/>
      <c r="H30" s="58"/>
      <c r="I30" s="58"/>
      <c r="J30" s="57"/>
      <c r="K30" s="58"/>
      <c r="L30" s="58"/>
      <c r="M30" s="58"/>
      <c r="N30" s="15"/>
      <c r="O30" s="58"/>
      <c r="P30" s="58"/>
      <c r="Q30" s="57"/>
      <c r="R30" s="57"/>
      <c r="S30" s="58"/>
      <c r="T30" s="58"/>
      <c r="U30" s="58"/>
      <c r="V30" s="58"/>
      <c r="W30" s="58"/>
      <c r="X30" s="57"/>
      <c r="Y30" s="58"/>
      <c r="Z30" s="58"/>
      <c r="AA30" s="58"/>
      <c r="AB30" s="15"/>
      <c r="AC30" s="58"/>
      <c r="AD30" s="58"/>
      <c r="AE30" s="57"/>
      <c r="AF30" s="58"/>
      <c r="AG30" s="58"/>
      <c r="AH30" s="58"/>
      <c r="AI30" s="15"/>
      <c r="AJ30" s="58"/>
    </row>
    <row r="31" spans="1:36" x14ac:dyDescent="0.2">
      <c r="A31" s="56"/>
      <c r="B31" s="10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15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15"/>
      <c r="AC31" s="56"/>
      <c r="AD31" s="56"/>
      <c r="AE31" s="56"/>
      <c r="AF31" s="56"/>
      <c r="AG31" s="56"/>
      <c r="AH31" s="56"/>
      <c r="AI31" s="15"/>
      <c r="AJ31" s="56"/>
    </row>
    <row r="32" spans="1:36" x14ac:dyDescent="0.2">
      <c r="A32" s="55"/>
      <c r="B32" s="9"/>
      <c r="C32" s="58"/>
      <c r="D32" s="58"/>
      <c r="E32" s="58"/>
      <c r="F32" s="58"/>
      <c r="G32" s="58"/>
      <c r="H32" s="15"/>
      <c r="I32" s="58"/>
      <c r="J32" s="57"/>
      <c r="K32" s="58"/>
      <c r="L32" s="58"/>
      <c r="M32" s="58"/>
      <c r="N32" s="58"/>
      <c r="O32" s="58"/>
      <c r="P32" s="58"/>
      <c r="Q32" s="57"/>
      <c r="R32" s="57"/>
      <c r="S32" s="58"/>
      <c r="T32" s="58"/>
      <c r="U32" s="58"/>
      <c r="V32" s="58"/>
      <c r="W32" s="15"/>
      <c r="X32" s="57"/>
      <c r="Y32" s="58"/>
      <c r="Z32" s="58"/>
      <c r="AA32" s="58"/>
      <c r="AB32" s="58"/>
      <c r="AC32" s="58"/>
      <c r="AD32" s="58"/>
      <c r="AE32" s="57"/>
      <c r="AF32" s="58"/>
      <c r="AG32" s="58"/>
      <c r="AH32" s="58"/>
      <c r="AI32" s="58"/>
      <c r="AJ32" s="58"/>
    </row>
    <row r="33" spans="1:36" x14ac:dyDescent="0.2">
      <c r="A33" s="56"/>
      <c r="B33" s="10"/>
      <c r="C33" s="56"/>
      <c r="D33" s="56"/>
      <c r="E33" s="56"/>
      <c r="F33" s="56"/>
      <c r="G33" s="56"/>
      <c r="H33" s="15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15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</row>
    <row r="34" spans="1:36" x14ac:dyDescent="0.2">
      <c r="A34" s="55"/>
      <c r="B34" s="9"/>
      <c r="C34" s="58"/>
      <c r="D34" s="58"/>
      <c r="E34" s="58"/>
      <c r="F34" s="58"/>
      <c r="G34" s="58"/>
      <c r="H34" s="58"/>
      <c r="I34" s="58"/>
      <c r="J34" s="57"/>
      <c r="K34" s="58"/>
      <c r="L34" s="58"/>
      <c r="M34" s="58"/>
      <c r="N34" s="58"/>
      <c r="O34" s="58"/>
      <c r="P34" s="58"/>
      <c r="Q34" s="57"/>
      <c r="R34" s="57"/>
      <c r="S34" s="58"/>
      <c r="T34" s="58"/>
      <c r="U34" s="58"/>
      <c r="V34" s="58"/>
      <c r="W34" s="58"/>
      <c r="X34" s="57"/>
      <c r="Y34" s="58"/>
      <c r="Z34" s="58"/>
      <c r="AA34" s="58"/>
      <c r="AB34" s="58"/>
      <c r="AC34" s="58"/>
      <c r="AD34" s="58"/>
      <c r="AE34" s="57"/>
      <c r="AF34" s="58"/>
      <c r="AG34" s="58"/>
      <c r="AH34" s="58"/>
      <c r="AI34" s="58"/>
      <c r="AJ34" s="58"/>
    </row>
    <row r="35" spans="1:36" x14ac:dyDescent="0.2">
      <c r="A35" s="56"/>
      <c r="B35" s="10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</row>
    <row r="36" spans="1:36" x14ac:dyDescent="0.2">
      <c r="A36" s="55"/>
      <c r="B36" s="9"/>
      <c r="C36" s="58"/>
      <c r="D36" s="58"/>
      <c r="E36" s="58"/>
      <c r="F36" s="58"/>
      <c r="G36" s="15"/>
      <c r="H36" s="58"/>
      <c r="I36" s="58"/>
      <c r="J36" s="57"/>
      <c r="K36" s="58"/>
      <c r="L36" s="58"/>
      <c r="M36" s="58"/>
      <c r="N36" s="58"/>
      <c r="O36" s="58"/>
      <c r="P36" s="58"/>
      <c r="Q36" s="57"/>
      <c r="R36" s="57"/>
      <c r="S36" s="58"/>
      <c r="T36" s="58"/>
      <c r="U36" s="58"/>
      <c r="V36" s="58"/>
      <c r="W36" s="58"/>
      <c r="X36" s="57"/>
      <c r="Y36" s="58"/>
      <c r="Z36" s="58"/>
      <c r="AA36" s="58"/>
      <c r="AB36" s="58"/>
      <c r="AC36" s="15"/>
      <c r="AD36" s="15"/>
      <c r="AE36" s="57"/>
      <c r="AF36" s="58"/>
      <c r="AG36" s="58"/>
      <c r="AH36" s="58"/>
      <c r="AI36" s="58"/>
      <c r="AJ36" s="15"/>
    </row>
    <row r="37" spans="1:36" x14ac:dyDescent="0.2">
      <c r="A37" s="56"/>
      <c r="B37" s="10"/>
      <c r="C37" s="56"/>
      <c r="D37" s="56"/>
      <c r="E37" s="56"/>
      <c r="F37" s="56"/>
      <c r="G37" s="15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15"/>
      <c r="AD37" s="15"/>
      <c r="AE37" s="56"/>
      <c r="AF37" s="56"/>
      <c r="AG37" s="56"/>
      <c r="AH37" s="56"/>
      <c r="AI37" s="56"/>
      <c r="AJ37" s="15"/>
    </row>
    <row r="38" spans="1:36" x14ac:dyDescent="0.2">
      <c r="A38" s="55"/>
      <c r="B38" s="9"/>
      <c r="C38" s="58"/>
      <c r="D38" s="58"/>
      <c r="E38" s="58"/>
      <c r="F38" s="58"/>
      <c r="G38" s="58"/>
      <c r="H38" s="15"/>
      <c r="I38" s="58"/>
      <c r="J38" s="57"/>
      <c r="K38" s="58"/>
      <c r="L38" s="58"/>
      <c r="M38" s="58"/>
      <c r="N38" s="15"/>
      <c r="O38" s="15"/>
      <c r="P38" s="58"/>
      <c r="Q38" s="57"/>
      <c r="R38" s="57"/>
      <c r="S38" s="58"/>
      <c r="T38" s="58"/>
      <c r="U38" s="15"/>
      <c r="V38" s="58"/>
      <c r="W38" s="58"/>
      <c r="X38" s="57"/>
      <c r="Y38" s="58"/>
      <c r="Z38" s="58"/>
      <c r="AA38" s="58"/>
      <c r="AB38" s="15"/>
      <c r="AC38" s="58"/>
      <c r="AD38" s="58"/>
      <c r="AE38" s="57"/>
      <c r="AF38" s="58"/>
      <c r="AG38" s="58"/>
      <c r="AH38" s="58"/>
      <c r="AI38" s="15"/>
      <c r="AJ38" s="58"/>
    </row>
    <row r="39" spans="1:36" x14ac:dyDescent="0.2">
      <c r="A39" s="56"/>
      <c r="B39" s="10"/>
      <c r="C39" s="56"/>
      <c r="D39" s="56"/>
      <c r="E39" s="56"/>
      <c r="F39" s="56"/>
      <c r="G39" s="56"/>
      <c r="H39" s="15"/>
      <c r="I39" s="56"/>
      <c r="J39" s="56"/>
      <c r="K39" s="56"/>
      <c r="L39" s="56"/>
      <c r="M39" s="56"/>
      <c r="N39" s="15"/>
      <c r="O39" s="15"/>
      <c r="P39" s="56"/>
      <c r="Q39" s="56"/>
      <c r="R39" s="56"/>
      <c r="S39" s="56"/>
      <c r="T39" s="56"/>
      <c r="U39" s="15"/>
      <c r="V39" s="56"/>
      <c r="W39" s="56"/>
      <c r="X39" s="56"/>
      <c r="Y39" s="56"/>
      <c r="Z39" s="56"/>
      <c r="AA39" s="56"/>
      <c r="AB39" s="15"/>
      <c r="AC39" s="56"/>
      <c r="AD39" s="56"/>
      <c r="AE39" s="56"/>
      <c r="AF39" s="56"/>
      <c r="AG39" s="56"/>
      <c r="AH39" s="56"/>
      <c r="AI39" s="15"/>
      <c r="AJ39" s="56"/>
    </row>
    <row r="40" spans="1:36" x14ac:dyDescent="0.2">
      <c r="A40" s="55"/>
      <c r="B40" s="9"/>
      <c r="C40" s="58"/>
      <c r="D40" s="58"/>
      <c r="E40" s="58"/>
      <c r="F40" s="58"/>
      <c r="G40" s="15"/>
      <c r="H40" s="58"/>
      <c r="I40" s="58"/>
      <c r="J40" s="57"/>
      <c r="K40" s="15"/>
      <c r="L40" s="58"/>
      <c r="M40" s="58"/>
      <c r="N40" s="15"/>
      <c r="O40" s="58"/>
      <c r="P40" s="58"/>
      <c r="Q40" s="57"/>
      <c r="R40" s="57"/>
      <c r="S40" s="15"/>
      <c r="T40" s="58"/>
      <c r="U40" s="15"/>
      <c r="V40" s="58"/>
      <c r="W40" s="58"/>
      <c r="X40" s="57"/>
      <c r="Y40" s="15"/>
      <c r="Z40" s="15"/>
      <c r="AA40" s="58"/>
      <c r="AB40" s="15"/>
      <c r="AC40" s="58"/>
      <c r="AD40" s="58"/>
      <c r="AE40" s="57"/>
      <c r="AF40" s="15"/>
      <c r="AG40" s="58"/>
      <c r="AH40" s="58"/>
      <c r="AI40" s="15"/>
      <c r="AJ40" s="58"/>
    </row>
    <row r="41" spans="1:36" x14ac:dyDescent="0.2">
      <c r="A41" s="56"/>
      <c r="B41" s="10"/>
      <c r="C41" s="56"/>
      <c r="D41" s="56"/>
      <c r="E41" s="56"/>
      <c r="F41" s="56"/>
      <c r="G41" s="15"/>
      <c r="H41" s="56"/>
      <c r="I41" s="56"/>
      <c r="J41" s="56"/>
      <c r="K41" s="15"/>
      <c r="L41" s="56"/>
      <c r="M41" s="56"/>
      <c r="N41" s="15"/>
      <c r="O41" s="56"/>
      <c r="P41" s="56"/>
      <c r="Q41" s="56"/>
      <c r="R41" s="56"/>
      <c r="S41" s="15"/>
      <c r="T41" s="56"/>
      <c r="U41" s="15"/>
      <c r="V41" s="56"/>
      <c r="W41" s="56"/>
      <c r="X41" s="56"/>
      <c r="Y41" s="15"/>
      <c r="Z41" s="15"/>
      <c r="AA41" s="56"/>
      <c r="AB41" s="15"/>
      <c r="AC41" s="56"/>
      <c r="AD41" s="56"/>
      <c r="AE41" s="56"/>
      <c r="AF41" s="15"/>
      <c r="AG41" s="56"/>
      <c r="AH41" s="56"/>
      <c r="AI41" s="15"/>
      <c r="AJ41" s="56"/>
    </row>
    <row r="42" spans="1:36" x14ac:dyDescent="0.2">
      <c r="A42" s="55"/>
      <c r="B42" s="9"/>
      <c r="C42" s="58"/>
      <c r="D42" s="58"/>
      <c r="E42" s="58"/>
      <c r="F42" s="58"/>
      <c r="G42" s="15"/>
      <c r="H42" s="58"/>
      <c r="I42" s="58"/>
      <c r="J42" s="57"/>
      <c r="K42" s="15"/>
      <c r="L42" s="58"/>
      <c r="M42" s="58"/>
      <c r="N42" s="58"/>
      <c r="O42" s="58"/>
      <c r="P42" s="58"/>
      <c r="Q42" s="57"/>
      <c r="R42" s="57"/>
      <c r="S42" s="58"/>
      <c r="T42" s="58"/>
      <c r="U42" s="58"/>
      <c r="V42" s="58"/>
      <c r="W42" s="58"/>
      <c r="X42" s="57"/>
      <c r="Y42" s="15"/>
      <c r="Z42" s="15"/>
      <c r="AA42" s="58"/>
      <c r="AB42" s="58"/>
      <c r="AC42" s="58"/>
      <c r="AD42" s="58"/>
      <c r="AE42" s="57"/>
      <c r="AF42" s="15"/>
      <c r="AG42" s="58"/>
      <c r="AH42" s="58"/>
      <c r="AI42" s="58"/>
      <c r="AJ42" s="58"/>
    </row>
    <row r="43" spans="1:36" x14ac:dyDescent="0.2">
      <c r="A43" s="56"/>
      <c r="B43" s="10"/>
      <c r="C43" s="56"/>
      <c r="D43" s="56"/>
      <c r="E43" s="56"/>
      <c r="F43" s="56"/>
      <c r="G43" s="15"/>
      <c r="H43" s="56"/>
      <c r="I43" s="56"/>
      <c r="J43" s="56"/>
      <c r="K43" s="15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15"/>
      <c r="Z43" s="15"/>
      <c r="AA43" s="56"/>
      <c r="AB43" s="56"/>
      <c r="AC43" s="56"/>
      <c r="AD43" s="56"/>
      <c r="AE43" s="56"/>
      <c r="AF43" s="15"/>
      <c r="AG43" s="56"/>
      <c r="AH43" s="56"/>
      <c r="AI43" s="56"/>
      <c r="AJ43" s="56"/>
    </row>
    <row r="44" spans="1:36" x14ac:dyDescent="0.2">
      <c r="A44" s="55"/>
      <c r="B44" s="9"/>
      <c r="C44" s="58"/>
      <c r="D44" s="58"/>
      <c r="E44" s="58"/>
      <c r="F44" s="58"/>
      <c r="G44" s="58"/>
      <c r="H44" s="58"/>
      <c r="I44" s="15"/>
      <c r="J44" s="57"/>
      <c r="K44" s="58"/>
      <c r="L44" s="15"/>
      <c r="M44" s="58"/>
      <c r="N44" s="15"/>
      <c r="O44" s="15"/>
      <c r="P44" s="58"/>
      <c r="Q44" s="57"/>
      <c r="R44" s="57"/>
      <c r="S44" s="15"/>
      <c r="T44" s="58"/>
      <c r="U44" s="15"/>
      <c r="V44" s="15"/>
      <c r="W44" s="58"/>
      <c r="X44" s="57"/>
      <c r="Y44" s="15"/>
      <c r="Z44" s="15"/>
      <c r="AA44" s="15"/>
      <c r="AB44" s="58"/>
      <c r="AC44" s="58"/>
      <c r="AD44" s="58"/>
      <c r="AE44" s="57"/>
      <c r="AF44" s="15"/>
      <c r="AG44" s="15"/>
      <c r="AH44" s="15"/>
      <c r="AI44" s="58"/>
      <c r="AJ44" s="15"/>
    </row>
    <row r="45" spans="1:36" x14ac:dyDescent="0.2">
      <c r="A45" s="56"/>
      <c r="B45" s="10"/>
      <c r="C45" s="56"/>
      <c r="D45" s="56"/>
      <c r="E45" s="56"/>
      <c r="F45" s="56"/>
      <c r="G45" s="56"/>
      <c r="H45" s="56"/>
      <c r="I45" s="15"/>
      <c r="J45" s="56"/>
      <c r="K45" s="56"/>
      <c r="L45" s="15"/>
      <c r="M45" s="56"/>
      <c r="N45" s="15"/>
      <c r="O45" s="15"/>
      <c r="P45" s="56"/>
      <c r="Q45" s="56"/>
      <c r="R45" s="56"/>
      <c r="S45" s="15"/>
      <c r="T45" s="56"/>
      <c r="U45" s="15"/>
      <c r="V45" s="15"/>
      <c r="W45" s="56"/>
      <c r="X45" s="56"/>
      <c r="Y45" s="15"/>
      <c r="Z45" s="15"/>
      <c r="AA45" s="15"/>
      <c r="AB45" s="56"/>
      <c r="AC45" s="56"/>
      <c r="AD45" s="56"/>
      <c r="AE45" s="56"/>
      <c r="AF45" s="15"/>
      <c r="AG45" s="15"/>
      <c r="AH45" s="15"/>
      <c r="AI45" s="56"/>
      <c r="AJ45" s="15"/>
    </row>
    <row r="46" spans="1:36" x14ac:dyDescent="0.2">
      <c r="A46" s="55"/>
      <c r="B46" s="9"/>
      <c r="C46" s="58"/>
      <c r="D46" s="58"/>
      <c r="E46" s="58"/>
      <c r="F46" s="58"/>
      <c r="G46" s="58"/>
      <c r="H46" s="58"/>
      <c r="I46" s="58"/>
      <c r="J46" s="57"/>
      <c r="K46" s="58"/>
      <c r="L46" s="58"/>
      <c r="M46" s="58"/>
      <c r="N46" s="58"/>
      <c r="O46" s="58"/>
      <c r="P46" s="58"/>
      <c r="Q46" s="57"/>
      <c r="R46" s="57"/>
      <c r="S46" s="58"/>
      <c r="T46" s="15"/>
      <c r="U46" s="15"/>
      <c r="V46" s="58"/>
      <c r="W46" s="58"/>
      <c r="X46" s="57"/>
      <c r="Y46" s="58"/>
      <c r="Z46" s="58"/>
      <c r="AA46" s="58"/>
      <c r="AB46" s="58"/>
      <c r="AC46" s="58"/>
      <c r="AD46" s="58"/>
      <c r="AE46" s="57"/>
      <c r="AF46" s="58"/>
      <c r="AG46" s="58"/>
      <c r="AH46" s="58"/>
      <c r="AI46" s="58"/>
      <c r="AJ46" s="58"/>
    </row>
    <row r="47" spans="1:36" x14ac:dyDescent="0.2">
      <c r="A47" s="56"/>
      <c r="B47" s="10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15"/>
      <c r="U47" s="15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</row>
    <row r="48" spans="1:36" x14ac:dyDescent="0.2">
      <c r="A48" s="55"/>
      <c r="B48" s="9"/>
      <c r="C48" s="58"/>
      <c r="D48" s="58"/>
      <c r="E48" s="58"/>
      <c r="F48" s="62"/>
      <c r="G48" s="62"/>
      <c r="H48" s="62"/>
      <c r="I48" s="62"/>
      <c r="J48" s="62"/>
      <c r="K48" s="58"/>
      <c r="L48" s="15"/>
      <c r="M48" s="15"/>
      <c r="N48" s="58"/>
      <c r="O48" s="15"/>
      <c r="P48" s="58"/>
      <c r="Q48" s="57"/>
      <c r="R48" s="57"/>
      <c r="S48" s="15"/>
      <c r="T48" s="15"/>
      <c r="U48" s="15"/>
      <c r="V48" s="15"/>
      <c r="W48" s="15"/>
      <c r="X48" s="57"/>
      <c r="Y48" s="15"/>
      <c r="Z48" s="58"/>
      <c r="AA48" s="58"/>
      <c r="AB48" s="15"/>
      <c r="AC48" s="58"/>
      <c r="AD48" s="15"/>
      <c r="AE48" s="57"/>
      <c r="AF48" s="58"/>
      <c r="AG48" s="58"/>
      <c r="AH48" s="15"/>
      <c r="AI48" s="15"/>
      <c r="AJ48" s="58"/>
    </row>
    <row r="49" spans="1:36" x14ac:dyDescent="0.2">
      <c r="A49" s="56"/>
      <c r="B49" s="10"/>
      <c r="C49" s="56"/>
      <c r="D49" s="56"/>
      <c r="E49" s="56"/>
      <c r="F49" s="56"/>
      <c r="G49" s="56"/>
      <c r="H49" s="56"/>
      <c r="I49" s="56"/>
      <c r="J49" s="56"/>
      <c r="K49" s="56"/>
      <c r="L49" s="15"/>
      <c r="M49" s="15"/>
      <c r="N49" s="56"/>
      <c r="O49" s="15"/>
      <c r="P49" s="56"/>
      <c r="Q49" s="56"/>
      <c r="R49" s="56"/>
      <c r="S49" s="15"/>
      <c r="T49" s="15"/>
      <c r="U49" s="15"/>
      <c r="V49" s="15"/>
      <c r="W49" s="15"/>
      <c r="X49" s="56"/>
      <c r="Y49" s="15"/>
      <c r="Z49" s="56"/>
      <c r="AA49" s="56"/>
      <c r="AB49" s="15"/>
      <c r="AC49" s="56"/>
      <c r="AD49" s="15"/>
      <c r="AE49" s="56"/>
      <c r="AF49" s="56"/>
      <c r="AG49" s="56"/>
      <c r="AH49" s="15"/>
      <c r="AI49" s="15"/>
      <c r="AJ49" s="56"/>
    </row>
    <row r="50" spans="1:36" x14ac:dyDescent="0.2">
      <c r="A50" s="55"/>
      <c r="B50" s="9"/>
      <c r="C50" s="58"/>
      <c r="D50" s="58"/>
      <c r="E50" s="58"/>
      <c r="F50" s="62"/>
      <c r="G50" s="62"/>
      <c r="H50" s="62"/>
      <c r="I50" s="62"/>
      <c r="J50" s="62"/>
      <c r="K50" s="15"/>
      <c r="L50" s="58"/>
      <c r="M50" s="58"/>
      <c r="N50" s="15"/>
      <c r="O50" s="58"/>
      <c r="P50" s="58"/>
      <c r="Q50" s="57"/>
      <c r="R50" s="57"/>
      <c r="S50" s="15"/>
      <c r="T50" s="58"/>
      <c r="U50" s="58"/>
      <c r="V50" s="58"/>
      <c r="W50" s="58"/>
      <c r="X50" s="57"/>
      <c r="Y50" s="58"/>
      <c r="Z50" s="58"/>
      <c r="AA50" s="15"/>
      <c r="AB50" s="58"/>
      <c r="AC50" s="15"/>
      <c r="AD50" s="58"/>
      <c r="AE50" s="57"/>
      <c r="AF50" s="15"/>
      <c r="AG50" s="15"/>
      <c r="AH50" s="58"/>
      <c r="AI50" s="15"/>
      <c r="AJ50" s="15"/>
    </row>
    <row r="51" spans="1:36" x14ac:dyDescent="0.2">
      <c r="A51" s="56"/>
      <c r="B51" s="10"/>
      <c r="C51" s="56"/>
      <c r="D51" s="56"/>
      <c r="E51" s="56"/>
      <c r="F51" s="56"/>
      <c r="G51" s="56"/>
      <c r="H51" s="56"/>
      <c r="I51" s="56"/>
      <c r="J51" s="56"/>
      <c r="K51" s="15"/>
      <c r="L51" s="56"/>
      <c r="M51" s="56"/>
      <c r="N51" s="15"/>
      <c r="O51" s="56"/>
      <c r="P51" s="56"/>
      <c r="Q51" s="56"/>
      <c r="R51" s="56"/>
      <c r="S51" s="15"/>
      <c r="T51" s="56"/>
      <c r="U51" s="56"/>
      <c r="V51" s="56"/>
      <c r="W51" s="56"/>
      <c r="X51" s="56"/>
      <c r="Y51" s="56"/>
      <c r="Z51" s="56"/>
      <c r="AA51" s="15"/>
      <c r="AB51" s="56"/>
      <c r="AC51" s="15"/>
      <c r="AD51" s="56"/>
      <c r="AE51" s="56"/>
      <c r="AF51" s="15"/>
      <c r="AG51" s="15"/>
      <c r="AH51" s="56"/>
      <c r="AI51" s="15"/>
      <c r="AJ51" s="15"/>
    </row>
    <row r="54" spans="1:36" x14ac:dyDescent="0.2">
      <c r="F54" s="20"/>
      <c r="G54" s="21"/>
      <c r="H54" s="22"/>
      <c r="I54" s="23"/>
      <c r="J54" s="24"/>
      <c r="K54" s="25"/>
      <c r="L54" s="26"/>
    </row>
    <row r="55" spans="1:36" ht="6" customHeight="1" x14ac:dyDescent="0.2"/>
    <row r="56" spans="1:36" x14ac:dyDescent="0.2">
      <c r="A56" s="63"/>
      <c r="B56" s="59"/>
      <c r="C56" s="7"/>
      <c r="D56" s="63"/>
      <c r="E56" s="59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 x14ac:dyDescent="0.2">
      <c r="A57" s="64"/>
      <c r="B57" s="65"/>
      <c r="C57" s="8"/>
      <c r="D57" s="64"/>
      <c r="E57" s="65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</row>
    <row r="58" spans="1:36" x14ac:dyDescent="0.2">
      <c r="A58" s="55"/>
      <c r="B58" s="59"/>
      <c r="C58" s="58"/>
      <c r="D58" s="55"/>
      <c r="E58" s="59"/>
      <c r="F58" s="27"/>
      <c r="G58" s="27"/>
      <c r="H58" s="27"/>
      <c r="I58" s="58"/>
      <c r="J58" s="58"/>
      <c r="K58" s="27"/>
      <c r="L58" s="27"/>
      <c r="M58" s="27"/>
      <c r="N58" s="27"/>
      <c r="O58" s="27"/>
      <c r="P58" s="58"/>
      <c r="Q58" s="58"/>
      <c r="R58" s="58"/>
      <c r="S58" s="27"/>
      <c r="T58" s="27"/>
      <c r="U58" s="27"/>
      <c r="V58" s="27"/>
      <c r="W58" s="58"/>
      <c r="X58" s="58"/>
      <c r="Y58" s="27"/>
      <c r="Z58" s="27"/>
      <c r="AA58" s="27"/>
      <c r="AB58" s="27"/>
      <c r="AC58" s="27"/>
      <c r="AD58" s="58"/>
      <c r="AE58" s="58"/>
      <c r="AF58" s="27"/>
      <c r="AG58" s="27"/>
      <c r="AH58" s="27"/>
      <c r="AI58" s="27"/>
      <c r="AJ58" s="27"/>
    </row>
    <row r="59" spans="1:36" x14ac:dyDescent="0.2">
      <c r="A59" s="60"/>
      <c r="B59" s="61"/>
      <c r="C59" s="56"/>
      <c r="D59" s="60"/>
      <c r="E59" s="61"/>
      <c r="F59" s="27"/>
      <c r="G59" s="27"/>
      <c r="H59" s="27"/>
      <c r="I59" s="56"/>
      <c r="J59" s="56"/>
      <c r="K59" s="27"/>
      <c r="L59" s="27"/>
      <c r="M59" s="27"/>
      <c r="N59" s="27"/>
      <c r="O59" s="27"/>
      <c r="P59" s="56"/>
      <c r="Q59" s="56"/>
      <c r="R59" s="56"/>
      <c r="S59" s="27"/>
      <c r="T59" s="27"/>
      <c r="U59" s="27"/>
      <c r="V59" s="27"/>
      <c r="W59" s="56"/>
      <c r="X59" s="56"/>
      <c r="Y59" s="27"/>
      <c r="Z59" s="27"/>
      <c r="AA59" s="27"/>
      <c r="AB59" s="27"/>
      <c r="AC59" s="27"/>
      <c r="AD59" s="56"/>
      <c r="AE59" s="56"/>
      <c r="AF59" s="27"/>
      <c r="AG59" s="27"/>
      <c r="AH59" s="27"/>
      <c r="AI59" s="27"/>
      <c r="AJ59" s="27"/>
    </row>
    <row r="60" spans="1:36" x14ac:dyDescent="0.2">
      <c r="A60" s="55"/>
      <c r="B60" s="59"/>
      <c r="C60" s="58"/>
      <c r="D60" s="55"/>
      <c r="E60" s="59"/>
      <c r="F60" s="27"/>
      <c r="G60" s="27"/>
      <c r="H60" s="27"/>
      <c r="I60" s="58"/>
      <c r="J60" s="58"/>
      <c r="K60" s="27"/>
      <c r="L60" s="27"/>
      <c r="M60" s="27"/>
      <c r="N60" s="27"/>
      <c r="O60" s="27"/>
      <c r="P60" s="58"/>
      <c r="Q60" s="58"/>
      <c r="R60" s="58"/>
      <c r="S60" s="27"/>
      <c r="T60" s="27"/>
      <c r="U60" s="27"/>
      <c r="V60" s="27"/>
      <c r="W60" s="58"/>
      <c r="X60" s="58"/>
      <c r="Y60" s="27"/>
      <c r="Z60" s="27"/>
      <c r="AA60" s="27"/>
      <c r="AB60" s="27"/>
      <c r="AC60" s="27"/>
      <c r="AD60" s="58"/>
      <c r="AE60" s="58"/>
      <c r="AF60" s="27"/>
      <c r="AG60" s="27"/>
      <c r="AH60" s="27"/>
      <c r="AI60" s="58"/>
      <c r="AJ60" s="27"/>
    </row>
    <row r="61" spans="1:36" x14ac:dyDescent="0.2">
      <c r="A61" s="60"/>
      <c r="B61" s="61"/>
      <c r="C61" s="56"/>
      <c r="D61" s="60"/>
      <c r="E61" s="61"/>
      <c r="F61" s="27"/>
      <c r="G61" s="27"/>
      <c r="H61" s="27"/>
      <c r="I61" s="56"/>
      <c r="J61" s="56"/>
      <c r="K61" s="27"/>
      <c r="L61" s="27"/>
      <c r="M61" s="27"/>
      <c r="N61" s="27"/>
      <c r="O61" s="27"/>
      <c r="P61" s="56"/>
      <c r="Q61" s="56"/>
      <c r="R61" s="56"/>
      <c r="S61" s="27"/>
      <c r="T61" s="27"/>
      <c r="U61" s="27"/>
      <c r="V61" s="27"/>
      <c r="W61" s="56"/>
      <c r="X61" s="56"/>
      <c r="Y61" s="27"/>
      <c r="Z61" s="27"/>
      <c r="AA61" s="27"/>
      <c r="AB61" s="27"/>
      <c r="AC61" s="27"/>
      <c r="AD61" s="56"/>
      <c r="AE61" s="56"/>
      <c r="AF61" s="27"/>
      <c r="AG61" s="27"/>
      <c r="AH61" s="27"/>
      <c r="AI61" s="56"/>
      <c r="AJ61" s="27"/>
    </row>
    <row r="62" spans="1:36" x14ac:dyDescent="0.2">
      <c r="A62" s="55"/>
      <c r="B62" s="59"/>
      <c r="C62" s="58"/>
      <c r="D62" s="55"/>
      <c r="E62" s="59"/>
      <c r="F62" s="27"/>
      <c r="G62" s="27"/>
      <c r="H62" s="27"/>
      <c r="I62" s="58"/>
      <c r="J62" s="58"/>
      <c r="K62" s="27"/>
      <c r="L62" s="27"/>
      <c r="M62" s="27"/>
      <c r="N62" s="27"/>
      <c r="O62" s="27"/>
      <c r="P62" s="58"/>
      <c r="Q62" s="58"/>
      <c r="R62" s="58"/>
      <c r="S62" s="27"/>
      <c r="T62" s="27"/>
      <c r="U62" s="27"/>
      <c r="V62" s="27"/>
      <c r="W62" s="27"/>
      <c r="X62" s="58"/>
      <c r="Y62" s="27"/>
      <c r="Z62" s="27"/>
      <c r="AA62" s="27"/>
      <c r="AB62" s="27"/>
      <c r="AC62" s="27"/>
      <c r="AD62" s="27"/>
      <c r="AE62" s="58"/>
      <c r="AF62" s="58"/>
      <c r="AG62" s="27"/>
      <c r="AH62" s="27"/>
      <c r="AI62" s="27"/>
      <c r="AJ62" s="27"/>
    </row>
    <row r="63" spans="1:36" x14ac:dyDescent="0.2">
      <c r="A63" s="60"/>
      <c r="B63" s="61"/>
      <c r="C63" s="56"/>
      <c r="D63" s="60"/>
      <c r="E63" s="61"/>
      <c r="F63" s="27"/>
      <c r="G63" s="27"/>
      <c r="H63" s="27"/>
      <c r="I63" s="56"/>
      <c r="J63" s="56"/>
      <c r="K63" s="27"/>
      <c r="L63" s="27"/>
      <c r="M63" s="27"/>
      <c r="N63" s="27"/>
      <c r="O63" s="27"/>
      <c r="P63" s="56"/>
      <c r="Q63" s="56"/>
      <c r="R63" s="56"/>
      <c r="S63" s="27"/>
      <c r="T63" s="27"/>
      <c r="U63" s="27"/>
      <c r="V63" s="27"/>
      <c r="W63" s="27"/>
      <c r="X63" s="56"/>
      <c r="Y63" s="27"/>
      <c r="Z63" s="27"/>
      <c r="AA63" s="27"/>
      <c r="AB63" s="27"/>
      <c r="AC63" s="27"/>
      <c r="AD63" s="27"/>
      <c r="AE63" s="56"/>
      <c r="AF63" s="56"/>
      <c r="AG63" s="27"/>
      <c r="AH63" s="27"/>
      <c r="AI63" s="27"/>
      <c r="AJ63" s="27"/>
    </row>
    <row r="64" spans="1:36" x14ac:dyDescent="0.2">
      <c r="A64" s="55"/>
      <c r="B64" s="59"/>
      <c r="C64" s="58"/>
      <c r="D64" s="55"/>
      <c r="E64" s="59"/>
      <c r="F64" s="58"/>
      <c r="G64" s="58"/>
      <c r="H64" s="27"/>
      <c r="I64" s="58"/>
      <c r="J64" s="58"/>
      <c r="K64" s="27"/>
      <c r="L64" s="27"/>
      <c r="M64" s="58"/>
      <c r="N64" s="58"/>
      <c r="O64" s="27"/>
      <c r="P64" s="58"/>
      <c r="Q64" s="58"/>
      <c r="R64" s="58"/>
      <c r="S64" s="27"/>
      <c r="T64" s="27"/>
      <c r="U64" s="58"/>
      <c r="V64" s="27"/>
      <c r="W64" s="58"/>
      <c r="X64" s="58"/>
      <c r="Y64" s="27"/>
      <c r="Z64" s="27"/>
      <c r="AA64" s="27"/>
      <c r="AB64" s="58"/>
      <c r="AC64" s="27"/>
      <c r="AD64" s="58"/>
      <c r="AE64" s="58"/>
      <c r="AF64" s="27"/>
      <c r="AG64" s="27"/>
      <c r="AH64" s="27"/>
      <c r="AI64" s="27"/>
      <c r="AJ64" s="27"/>
    </row>
    <row r="65" spans="1:36" x14ac:dyDescent="0.2">
      <c r="A65" s="60"/>
      <c r="B65" s="61"/>
      <c r="C65" s="56"/>
      <c r="D65" s="60"/>
      <c r="E65" s="61"/>
      <c r="F65" s="56"/>
      <c r="G65" s="56"/>
      <c r="H65" s="27"/>
      <c r="I65" s="56"/>
      <c r="J65" s="56"/>
      <c r="K65" s="27"/>
      <c r="L65" s="27"/>
      <c r="M65" s="56"/>
      <c r="N65" s="56"/>
      <c r="O65" s="27"/>
      <c r="P65" s="56"/>
      <c r="Q65" s="56"/>
      <c r="R65" s="56"/>
      <c r="S65" s="27"/>
      <c r="T65" s="27"/>
      <c r="U65" s="56"/>
      <c r="V65" s="27"/>
      <c r="W65" s="56"/>
      <c r="X65" s="56"/>
      <c r="Y65" s="27"/>
      <c r="Z65" s="27"/>
      <c r="AA65" s="27"/>
      <c r="AB65" s="56"/>
      <c r="AC65" s="27"/>
      <c r="AD65" s="56"/>
      <c r="AE65" s="56"/>
      <c r="AF65" s="27"/>
      <c r="AG65" s="27"/>
      <c r="AH65" s="27"/>
      <c r="AI65" s="27"/>
      <c r="AJ65" s="27"/>
    </row>
    <row r="66" spans="1:36" x14ac:dyDescent="0.2">
      <c r="A66" s="55"/>
      <c r="B66" s="59"/>
      <c r="C66" s="58"/>
      <c r="D66" s="55"/>
      <c r="E66" s="59"/>
      <c r="F66" s="58"/>
      <c r="G66" s="27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</row>
    <row r="67" spans="1:36" x14ac:dyDescent="0.2">
      <c r="A67" s="60"/>
      <c r="B67" s="61"/>
      <c r="C67" s="56"/>
      <c r="D67" s="60"/>
      <c r="E67" s="61"/>
      <c r="F67" s="56"/>
      <c r="G67" s="27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</row>
    <row r="68" spans="1:36" x14ac:dyDescent="0.2">
      <c r="A68" s="55"/>
      <c r="B68" s="59"/>
      <c r="C68" s="58"/>
      <c r="D68" s="55"/>
      <c r="E68" s="59"/>
      <c r="F68" s="28"/>
      <c r="G68" s="28"/>
      <c r="H68" s="28"/>
      <c r="I68" s="28"/>
      <c r="J68" s="58"/>
      <c r="K68" s="28"/>
      <c r="L68" s="58"/>
      <c r="M68" s="28"/>
      <c r="N68" s="28"/>
      <c r="O68" s="58"/>
      <c r="P68" s="58"/>
      <c r="Q68" s="58"/>
      <c r="R68" s="58"/>
      <c r="S68" s="28"/>
      <c r="T68" s="28"/>
      <c r="U68" s="28"/>
      <c r="V68" s="28"/>
      <c r="W68" s="28"/>
      <c r="X68" s="58"/>
      <c r="Y68" s="28"/>
      <c r="Z68" s="28"/>
      <c r="AA68" s="58"/>
      <c r="AB68" s="28"/>
      <c r="AC68" s="58"/>
      <c r="AD68" s="28"/>
      <c r="AE68" s="58"/>
      <c r="AF68" s="28"/>
      <c r="AG68" s="58"/>
      <c r="AH68" s="58"/>
      <c r="AI68" s="58"/>
      <c r="AJ68" s="28"/>
    </row>
    <row r="69" spans="1:36" x14ac:dyDescent="0.2">
      <c r="A69" s="60"/>
      <c r="B69" s="61"/>
      <c r="C69" s="56"/>
      <c r="D69" s="60"/>
      <c r="E69" s="61"/>
      <c r="F69" s="28"/>
      <c r="G69" s="28"/>
      <c r="H69" s="28"/>
      <c r="I69" s="28"/>
      <c r="J69" s="56"/>
      <c r="K69" s="28"/>
      <c r="L69" s="56"/>
      <c r="M69" s="28"/>
      <c r="N69" s="28"/>
      <c r="O69" s="56"/>
      <c r="P69" s="56"/>
      <c r="Q69" s="56"/>
      <c r="R69" s="56"/>
      <c r="S69" s="28"/>
      <c r="T69" s="28"/>
      <c r="U69" s="28"/>
      <c r="V69" s="28"/>
      <c r="W69" s="28"/>
      <c r="X69" s="56"/>
      <c r="Y69" s="28"/>
      <c r="Z69" s="28"/>
      <c r="AA69" s="56"/>
      <c r="AB69" s="28"/>
      <c r="AC69" s="56"/>
      <c r="AD69" s="28"/>
      <c r="AE69" s="56"/>
      <c r="AF69" s="28"/>
      <c r="AG69" s="56"/>
      <c r="AH69" s="56"/>
      <c r="AI69" s="56"/>
      <c r="AJ69" s="28"/>
    </row>
    <row r="70" spans="1:36" x14ac:dyDescent="0.2">
      <c r="A70" s="55"/>
      <c r="B70" s="59"/>
      <c r="C70" s="58"/>
      <c r="D70" s="55"/>
      <c r="E70" s="59"/>
      <c r="F70" s="58"/>
      <c r="G70" s="28"/>
      <c r="H70" s="28"/>
      <c r="I70" s="58"/>
      <c r="J70" s="58"/>
      <c r="K70" s="28"/>
      <c r="L70" s="28"/>
      <c r="M70" s="58"/>
      <c r="N70" s="28"/>
      <c r="O70" s="28"/>
      <c r="P70" s="58"/>
      <c r="Q70" s="58"/>
      <c r="R70" s="58"/>
      <c r="S70" s="28"/>
      <c r="T70" s="28"/>
      <c r="U70" s="28"/>
      <c r="V70" s="28"/>
      <c r="W70" s="58"/>
      <c r="X70" s="58"/>
      <c r="Y70" s="58"/>
      <c r="Z70" s="28"/>
      <c r="AA70" s="28"/>
      <c r="AB70" s="28"/>
      <c r="AC70" s="28"/>
      <c r="AD70" s="58"/>
      <c r="AE70" s="58"/>
      <c r="AF70" s="58"/>
      <c r="AG70" s="28"/>
      <c r="AH70" s="28"/>
      <c r="AI70" s="28"/>
      <c r="AJ70" s="28"/>
    </row>
    <row r="71" spans="1:36" x14ac:dyDescent="0.2">
      <c r="A71" s="60"/>
      <c r="B71" s="61"/>
      <c r="C71" s="56"/>
      <c r="D71" s="60"/>
      <c r="E71" s="61"/>
      <c r="F71" s="56"/>
      <c r="G71" s="28"/>
      <c r="H71" s="28"/>
      <c r="I71" s="56"/>
      <c r="J71" s="56"/>
      <c r="K71" s="28"/>
      <c r="L71" s="28"/>
      <c r="M71" s="56"/>
      <c r="N71" s="28"/>
      <c r="O71" s="28"/>
      <c r="P71" s="56"/>
      <c r="Q71" s="56"/>
      <c r="R71" s="56"/>
      <c r="S71" s="28"/>
      <c r="T71" s="28"/>
      <c r="U71" s="28"/>
      <c r="V71" s="28"/>
      <c r="W71" s="56"/>
      <c r="X71" s="56"/>
      <c r="Y71" s="56"/>
      <c r="Z71" s="28"/>
      <c r="AA71" s="28"/>
      <c r="AB71" s="28"/>
      <c r="AC71" s="28"/>
      <c r="AD71" s="56"/>
      <c r="AE71" s="56"/>
      <c r="AF71" s="56"/>
      <c r="AG71" s="28"/>
      <c r="AH71" s="28"/>
      <c r="AI71" s="28"/>
      <c r="AJ71" s="28"/>
    </row>
    <row r="72" spans="1:36" x14ac:dyDescent="0.2">
      <c r="A72" s="55"/>
      <c r="B72" s="59"/>
      <c r="C72" s="58"/>
      <c r="D72" s="55"/>
      <c r="E72" s="59"/>
      <c r="F72" s="29"/>
      <c r="G72" s="29"/>
      <c r="H72" s="29"/>
      <c r="I72" s="58"/>
      <c r="J72" s="58"/>
      <c r="K72" s="58"/>
      <c r="L72" s="29"/>
      <c r="M72" s="29"/>
      <c r="N72" s="58"/>
      <c r="O72" s="58"/>
      <c r="P72" s="58"/>
      <c r="Q72" s="58"/>
      <c r="R72" s="58"/>
      <c r="S72" s="29"/>
      <c r="T72" s="29"/>
      <c r="U72" s="29"/>
      <c r="V72" s="29"/>
      <c r="W72" s="58"/>
      <c r="X72" s="58"/>
      <c r="Y72" s="29"/>
      <c r="Z72" s="29"/>
      <c r="AA72" s="29"/>
      <c r="AB72" s="29"/>
      <c r="AC72" s="29"/>
      <c r="AD72" s="58"/>
      <c r="AE72" s="58"/>
      <c r="AF72" s="29"/>
      <c r="AG72" s="29"/>
      <c r="AH72" s="29"/>
      <c r="AI72" s="29"/>
      <c r="AJ72" s="29"/>
    </row>
    <row r="73" spans="1:36" x14ac:dyDescent="0.2">
      <c r="A73" s="60"/>
      <c r="B73" s="61"/>
      <c r="C73" s="56"/>
      <c r="D73" s="60"/>
      <c r="E73" s="61"/>
      <c r="F73" s="29"/>
      <c r="G73" s="29"/>
      <c r="H73" s="29"/>
      <c r="I73" s="56"/>
      <c r="J73" s="56"/>
      <c r="K73" s="56"/>
      <c r="L73" s="29"/>
      <c r="M73" s="29"/>
      <c r="N73" s="56"/>
      <c r="O73" s="56"/>
      <c r="P73" s="56"/>
      <c r="Q73" s="56"/>
      <c r="R73" s="56"/>
      <c r="S73" s="29"/>
      <c r="T73" s="29"/>
      <c r="U73" s="29"/>
      <c r="V73" s="29"/>
      <c r="W73" s="56"/>
      <c r="X73" s="56"/>
      <c r="Y73" s="29"/>
      <c r="Z73" s="29"/>
      <c r="AA73" s="29"/>
      <c r="AB73" s="29"/>
      <c r="AC73" s="29"/>
      <c r="AD73" s="56"/>
      <c r="AE73" s="56"/>
      <c r="AF73" s="29"/>
      <c r="AG73" s="29"/>
      <c r="AH73" s="29"/>
      <c r="AI73" s="29"/>
      <c r="AJ73" s="29"/>
    </row>
  </sheetData>
  <mergeCells count="755">
    <mergeCell ref="AG46:AG47"/>
    <mergeCell ref="AG40:AG41"/>
    <mergeCell ref="T50:T51"/>
    <mergeCell ref="U16:U17"/>
    <mergeCell ref="T44:T45"/>
    <mergeCell ref="AB12:AB13"/>
    <mergeCell ref="W16:W17"/>
    <mergeCell ref="J68:J69"/>
    <mergeCell ref="AE48:AE49"/>
    <mergeCell ref="AF14:AF15"/>
    <mergeCell ref="R30:R31"/>
    <mergeCell ref="AG48:AG49"/>
    <mergeCell ref="X14:X15"/>
    <mergeCell ref="AC14:AC15"/>
    <mergeCell ref="Z18:Z19"/>
    <mergeCell ref="O66:O67"/>
    <mergeCell ref="O68:O69"/>
    <mergeCell ref="Z16:Z17"/>
    <mergeCell ref="AE12:AE13"/>
    <mergeCell ref="AE14:AE15"/>
    <mergeCell ref="AD14:AD15"/>
    <mergeCell ref="N22:N23"/>
    <mergeCell ref="K32:K33"/>
    <mergeCell ref="J60:J61"/>
    <mergeCell ref="D16:D17"/>
    <mergeCell ref="S34:S35"/>
    <mergeCell ref="AD70:AD71"/>
    <mergeCell ref="I58:I59"/>
    <mergeCell ref="N48:N49"/>
    <mergeCell ref="P48:P49"/>
    <mergeCell ref="AD32:AD33"/>
    <mergeCell ref="AF32:AF33"/>
    <mergeCell ref="D18:D19"/>
    <mergeCell ref="F28:F29"/>
    <mergeCell ref="I60:I61"/>
    <mergeCell ref="H28:H29"/>
    <mergeCell ref="F64:F65"/>
    <mergeCell ref="AF24:AF25"/>
    <mergeCell ref="AF16:AF17"/>
    <mergeCell ref="AF46:AF47"/>
    <mergeCell ref="X70:X71"/>
    <mergeCell ref="M70:M71"/>
    <mergeCell ref="D68:E69"/>
    <mergeCell ref="X68:X69"/>
    <mergeCell ref="I62:I63"/>
    <mergeCell ref="V24:V25"/>
    <mergeCell ref="G64:G65"/>
    <mergeCell ref="M28:M29"/>
    <mergeCell ref="J8:J9"/>
    <mergeCell ref="AE66:AE67"/>
    <mergeCell ref="W44:W45"/>
    <mergeCell ref="I48:I49"/>
    <mergeCell ref="K48:K49"/>
    <mergeCell ref="K66:K67"/>
    <mergeCell ref="M66:M67"/>
    <mergeCell ref="Z28:Z29"/>
    <mergeCell ref="AB28:AB29"/>
    <mergeCell ref="Q58:Q59"/>
    <mergeCell ref="Q60:Q61"/>
    <mergeCell ref="N64:N65"/>
    <mergeCell ref="AC42:AC43"/>
    <mergeCell ref="AE42:AE43"/>
    <mergeCell ref="AD16:AD17"/>
    <mergeCell ref="AC44:AC45"/>
    <mergeCell ref="AE44:AE45"/>
    <mergeCell ref="I32:I33"/>
    <mergeCell ref="K26:K27"/>
    <mergeCell ref="P22:P23"/>
    <mergeCell ref="AA38:AA39"/>
    <mergeCell ref="P34:P35"/>
    <mergeCell ref="AE46:AE47"/>
    <mergeCell ref="R28:R29"/>
    <mergeCell ref="C12:C13"/>
    <mergeCell ref="A14:A15"/>
    <mergeCell ref="J16:J17"/>
    <mergeCell ref="C28:C29"/>
    <mergeCell ref="C14:C15"/>
    <mergeCell ref="R10:R11"/>
    <mergeCell ref="H10:H11"/>
    <mergeCell ref="E14:E15"/>
    <mergeCell ref="AD58:AD59"/>
    <mergeCell ref="J10:J11"/>
    <mergeCell ref="T38:T39"/>
    <mergeCell ref="V38:V39"/>
    <mergeCell ref="AA34:AA35"/>
    <mergeCell ref="AA28:AA29"/>
    <mergeCell ref="AC28:AC29"/>
    <mergeCell ref="T40:T41"/>
    <mergeCell ref="L18:L19"/>
    <mergeCell ref="V40:V41"/>
    <mergeCell ref="AA30:AA31"/>
    <mergeCell ref="E38:E39"/>
    <mergeCell ref="AC30:AC31"/>
    <mergeCell ref="Z20:Z21"/>
    <mergeCell ref="U42:U43"/>
    <mergeCell ref="W42:W43"/>
    <mergeCell ref="A6:A7"/>
    <mergeCell ref="G38:G39"/>
    <mergeCell ref="AC18:AC19"/>
    <mergeCell ref="AE18:AE19"/>
    <mergeCell ref="C22:C23"/>
    <mergeCell ref="M46:M47"/>
    <mergeCell ref="AB66:AB67"/>
    <mergeCell ref="I8:I9"/>
    <mergeCell ref="AD66:AD67"/>
    <mergeCell ref="F14:F15"/>
    <mergeCell ref="Z34:Z35"/>
    <mergeCell ref="H42:H43"/>
    <mergeCell ref="W38:W39"/>
    <mergeCell ref="M38:M39"/>
    <mergeCell ref="J42:J43"/>
    <mergeCell ref="AE16:AE17"/>
    <mergeCell ref="A46:A47"/>
    <mergeCell ref="K46:K47"/>
    <mergeCell ref="C46:C47"/>
    <mergeCell ref="D12:D13"/>
    <mergeCell ref="P36:P37"/>
    <mergeCell ref="R36:R37"/>
    <mergeCell ref="U32:U33"/>
    <mergeCell ref="E46:E47"/>
    <mergeCell ref="D14:D15"/>
    <mergeCell ref="I10:I11"/>
    <mergeCell ref="S32:S33"/>
    <mergeCell ref="K10:K11"/>
    <mergeCell ref="A66:B67"/>
    <mergeCell ref="U50:U51"/>
    <mergeCell ref="AI34:AI35"/>
    <mergeCell ref="AC16:AC17"/>
    <mergeCell ref="AF48:AF49"/>
    <mergeCell ref="C20:C21"/>
    <mergeCell ref="E20:E21"/>
    <mergeCell ref="R34:R35"/>
    <mergeCell ref="X20:X21"/>
    <mergeCell ref="M40:M41"/>
    <mergeCell ref="C40:C41"/>
    <mergeCell ref="U24:U25"/>
    <mergeCell ref="E40:E41"/>
    <mergeCell ref="M24:M25"/>
    <mergeCell ref="S24:S25"/>
    <mergeCell ref="W18:W19"/>
    <mergeCell ref="X22:X23"/>
    <mergeCell ref="U26:U27"/>
    <mergeCell ref="D26:D27"/>
    <mergeCell ref="A12:A13"/>
    <mergeCell ref="X10:X11"/>
    <mergeCell ref="E30:E31"/>
    <mergeCell ref="J26:J27"/>
    <mergeCell ref="Z10:Z11"/>
    <mergeCell ref="R50:R51"/>
    <mergeCell ref="G30:G31"/>
    <mergeCell ref="M14:M15"/>
    <mergeCell ref="J18:J19"/>
    <mergeCell ref="T66:T67"/>
    <mergeCell ref="V66:V67"/>
    <mergeCell ref="L66:L67"/>
    <mergeCell ref="N66:N67"/>
    <mergeCell ref="W64:W65"/>
    <mergeCell ref="V22:V23"/>
    <mergeCell ref="H30:H31"/>
    <mergeCell ref="E12:E13"/>
    <mergeCell ref="D48:D49"/>
    <mergeCell ref="W22:W23"/>
    <mergeCell ref="T26:T27"/>
    <mergeCell ref="Y22:Y23"/>
    <mergeCell ref="A18:A19"/>
    <mergeCell ref="A32:A33"/>
    <mergeCell ref="E36:E37"/>
    <mergeCell ref="H18:H19"/>
    <mergeCell ref="A72:B73"/>
    <mergeCell ref="E28:E29"/>
    <mergeCell ref="J24:J25"/>
    <mergeCell ref="W72:W73"/>
    <mergeCell ref="C36:C37"/>
    <mergeCell ref="R26:R27"/>
    <mergeCell ref="Q70:Q71"/>
    <mergeCell ref="D20:D21"/>
    <mergeCell ref="C48:C49"/>
    <mergeCell ref="I70:I71"/>
    <mergeCell ref="L68:L69"/>
    <mergeCell ref="X72:X73"/>
    <mergeCell ref="H44:H45"/>
    <mergeCell ref="J44:J45"/>
    <mergeCell ref="D46:D47"/>
    <mergeCell ref="E34:E35"/>
    <mergeCell ref="R24:R25"/>
    <mergeCell ref="W20:W21"/>
    <mergeCell ref="G34:G35"/>
    <mergeCell ref="Y20:Y21"/>
    <mergeCell ref="L24:L25"/>
    <mergeCell ref="I28:I29"/>
    <mergeCell ref="C72:C73"/>
    <mergeCell ref="AB34:AB35"/>
    <mergeCell ref="P58:P59"/>
    <mergeCell ref="R58:R59"/>
    <mergeCell ref="AF38:AF39"/>
    <mergeCell ref="O28:O29"/>
    <mergeCell ref="T24:T25"/>
    <mergeCell ref="AB18:AB19"/>
    <mergeCell ref="M64:M65"/>
    <mergeCell ref="Q28:Q29"/>
    <mergeCell ref="AE72:AE73"/>
    <mergeCell ref="D22:D23"/>
    <mergeCell ref="Z26:Z27"/>
    <mergeCell ref="S46:S47"/>
    <mergeCell ref="AF62:AF63"/>
    <mergeCell ref="S66:S67"/>
    <mergeCell ref="P70:P71"/>
    <mergeCell ref="U66:U67"/>
    <mergeCell ref="R70:R71"/>
    <mergeCell ref="W66:W67"/>
    <mergeCell ref="I72:I73"/>
    <mergeCell ref="K72:K73"/>
    <mergeCell ref="AD72:AD73"/>
    <mergeCell ref="D70:E71"/>
    <mergeCell ref="L12:L13"/>
    <mergeCell ref="H50:H51"/>
    <mergeCell ref="I16:I17"/>
    <mergeCell ref="N12:N13"/>
    <mergeCell ref="A16:A17"/>
    <mergeCell ref="AC24:AC25"/>
    <mergeCell ref="AH20:AH21"/>
    <mergeCell ref="C16:C17"/>
    <mergeCell ref="D36:D37"/>
    <mergeCell ref="I26:I27"/>
    <mergeCell ref="F30:F31"/>
    <mergeCell ref="I18:I19"/>
    <mergeCell ref="N14:N15"/>
    <mergeCell ref="AC38:AC39"/>
    <mergeCell ref="AH34:AH35"/>
    <mergeCell ref="AE38:AE39"/>
    <mergeCell ref="AE20:AE21"/>
    <mergeCell ref="AG20:AG21"/>
    <mergeCell ref="AG14:AG15"/>
    <mergeCell ref="AD18:AD19"/>
    <mergeCell ref="X36:X37"/>
    <mergeCell ref="K18:K19"/>
    <mergeCell ref="Z36:Z37"/>
    <mergeCell ref="W40:W41"/>
    <mergeCell ref="AJ28:AJ29"/>
    <mergeCell ref="R42:R43"/>
    <mergeCell ref="AA68:AA69"/>
    <mergeCell ref="R32:R33"/>
    <mergeCell ref="J32:J33"/>
    <mergeCell ref="A22:A23"/>
    <mergeCell ref="AH30:AH31"/>
    <mergeCell ref="L38:L39"/>
    <mergeCell ref="AJ30:AJ31"/>
    <mergeCell ref="I42:I43"/>
    <mergeCell ref="J22:J23"/>
    <mergeCell ref="R46:R47"/>
    <mergeCell ref="E50:E51"/>
    <mergeCell ref="Y36:Y37"/>
    <mergeCell ref="G50:G51"/>
    <mergeCell ref="L40:L41"/>
    <mergeCell ref="I50:I51"/>
    <mergeCell ref="G44:G45"/>
    <mergeCell ref="AB24:AB25"/>
    <mergeCell ref="AD24:AD25"/>
    <mergeCell ref="A62:B63"/>
    <mergeCell ref="X58:X59"/>
    <mergeCell ref="A34:A35"/>
    <mergeCell ref="A28:A29"/>
    <mergeCell ref="D34:D35"/>
    <mergeCell ref="F34:F35"/>
    <mergeCell ref="M34:M35"/>
    <mergeCell ref="A48:A49"/>
    <mergeCell ref="P60:P61"/>
    <mergeCell ref="R60:R61"/>
    <mergeCell ref="F36:F37"/>
    <mergeCell ref="Z32:Z33"/>
    <mergeCell ref="AE22:AE23"/>
    <mergeCell ref="O36:O37"/>
    <mergeCell ref="Z50:Z51"/>
    <mergeCell ref="O30:O31"/>
    <mergeCell ref="I38:I39"/>
    <mergeCell ref="L46:L47"/>
    <mergeCell ref="O34:O35"/>
    <mergeCell ref="C58:C59"/>
    <mergeCell ref="R48:R49"/>
    <mergeCell ref="F24:F25"/>
    <mergeCell ref="J48:J49"/>
    <mergeCell ref="Q44:Q45"/>
    <mergeCell ref="D58:E59"/>
    <mergeCell ref="F50:F51"/>
    <mergeCell ref="A56:B57"/>
    <mergeCell ref="Z30:Z31"/>
    <mergeCell ref="AJ10:AJ11"/>
    <mergeCell ref="AJ66:AJ67"/>
    <mergeCell ref="J20:J21"/>
    <mergeCell ref="L20:L21"/>
    <mergeCell ref="Y34:Y35"/>
    <mergeCell ref="AJ18:AJ19"/>
    <mergeCell ref="L22:L23"/>
    <mergeCell ref="AJ34:AJ35"/>
    <mergeCell ref="L34:L35"/>
    <mergeCell ref="AA46:AA47"/>
    <mergeCell ref="N28:N29"/>
    <mergeCell ref="AC46:AC47"/>
    <mergeCell ref="Q16:Q17"/>
    <mergeCell ref="AC40:AC41"/>
    <mergeCell ref="AH36:AH37"/>
    <mergeCell ref="S16:S17"/>
    <mergeCell ref="AE40:AE41"/>
    <mergeCell ref="V12:V13"/>
    <mergeCell ref="AD22:AD23"/>
    <mergeCell ref="S26:S27"/>
    <mergeCell ref="AC48:AC49"/>
    <mergeCell ref="P30:P31"/>
    <mergeCell ref="AI14:AI15"/>
    <mergeCell ref="K20:K21"/>
    <mergeCell ref="W70:W71"/>
    <mergeCell ref="Y70:Y71"/>
    <mergeCell ref="N34:N35"/>
    <mergeCell ref="K38:K39"/>
    <mergeCell ref="AG42:AG43"/>
    <mergeCell ref="P10:P11"/>
    <mergeCell ref="M20:M21"/>
    <mergeCell ref="AB32:AB33"/>
    <mergeCell ref="AG22:AG23"/>
    <mergeCell ref="T14:T15"/>
    <mergeCell ref="AG34:AG35"/>
    <mergeCell ref="AD38:AD39"/>
    <mergeCell ref="Q42:Q43"/>
    <mergeCell ref="S42:S43"/>
    <mergeCell ref="AG36:AG37"/>
    <mergeCell ref="AD40:AD41"/>
    <mergeCell ref="AF20:AF21"/>
    <mergeCell ref="AF22:AF23"/>
    <mergeCell ref="P18:P19"/>
    <mergeCell ref="X12:X13"/>
    <mergeCell ref="P16:P17"/>
    <mergeCell ref="U14:U15"/>
    <mergeCell ref="R18:R19"/>
    <mergeCell ref="W14:W15"/>
    <mergeCell ref="H66:H67"/>
    <mergeCell ref="J66:J67"/>
    <mergeCell ref="P28:P29"/>
    <mergeCell ref="D60:E61"/>
    <mergeCell ref="A64:B65"/>
    <mergeCell ref="AJ24:AJ25"/>
    <mergeCell ref="X60:X61"/>
    <mergeCell ref="U64:U65"/>
    <mergeCell ref="Y28:Y29"/>
    <mergeCell ref="AJ26:AJ27"/>
    <mergeCell ref="A38:A39"/>
    <mergeCell ref="C38:C39"/>
    <mergeCell ref="L36:L37"/>
    <mergeCell ref="Q32:Q33"/>
    <mergeCell ref="Q50:Q51"/>
    <mergeCell ref="M36:M37"/>
    <mergeCell ref="Z48:Z49"/>
    <mergeCell ref="M30:M31"/>
    <mergeCell ref="AI28:AI29"/>
    <mergeCell ref="AI36:AI37"/>
    <mergeCell ref="Y32:Y33"/>
    <mergeCell ref="AA32:AA33"/>
    <mergeCell ref="AG32:AG33"/>
    <mergeCell ref="AB50:AB51"/>
    <mergeCell ref="E8:E9"/>
    <mergeCell ref="Z66:Z67"/>
    <mergeCell ref="AE62:AE63"/>
    <mergeCell ref="R44:R45"/>
    <mergeCell ref="X16:X17"/>
    <mergeCell ref="C10:C11"/>
    <mergeCell ref="E10:E11"/>
    <mergeCell ref="G10:G11"/>
    <mergeCell ref="Q38:Q39"/>
    <mergeCell ref="V34:V35"/>
    <mergeCell ref="S38:S39"/>
    <mergeCell ref="AA24:AA25"/>
    <mergeCell ref="F42:F43"/>
    <mergeCell ref="X28:X29"/>
    <mergeCell ref="O40:O41"/>
    <mergeCell ref="N36:N37"/>
    <mergeCell ref="T20:T21"/>
    <mergeCell ref="Q24:Q25"/>
    <mergeCell ref="V20:V21"/>
    <mergeCell ref="AA10:AA11"/>
    <mergeCell ref="S18:S19"/>
    <mergeCell ref="I66:I67"/>
    <mergeCell ref="Q26:Q27"/>
    <mergeCell ref="V28:V29"/>
    <mergeCell ref="AF28:AF29"/>
    <mergeCell ref="AD64:AD65"/>
    <mergeCell ref="AI60:AI61"/>
    <mergeCell ref="Q68:Q69"/>
    <mergeCell ref="AH28:AH29"/>
    <mergeCell ref="X32:X33"/>
    <mergeCell ref="AI66:AI67"/>
    <mergeCell ref="X8:X9"/>
    <mergeCell ref="P42:P43"/>
    <mergeCell ref="T10:T11"/>
    <mergeCell ref="AF36:AF37"/>
    <mergeCell ref="P44:P45"/>
    <mergeCell ref="AG10:AG11"/>
    <mergeCell ref="AI10:AI11"/>
    <mergeCell ref="AC68:AC69"/>
    <mergeCell ref="AI24:AI25"/>
    <mergeCell ref="AB46:AB47"/>
    <mergeCell ref="U12:U13"/>
    <mergeCell ref="AD46:AD47"/>
    <mergeCell ref="AH10:AH11"/>
    <mergeCell ref="Q8:Q9"/>
    <mergeCell ref="Y10:Y11"/>
    <mergeCell ref="Q10:Q11"/>
    <mergeCell ref="S10:S11"/>
    <mergeCell ref="AC26:AC27"/>
    <mergeCell ref="P32:P33"/>
    <mergeCell ref="P50:P51"/>
    <mergeCell ref="AE64:AE65"/>
    <mergeCell ref="X42:X43"/>
    <mergeCell ref="V26:V27"/>
    <mergeCell ref="Y66:Y67"/>
    <mergeCell ref="Q66:Q67"/>
    <mergeCell ref="Y38:Y39"/>
    <mergeCell ref="AB64:AB65"/>
    <mergeCell ref="AA36:AA37"/>
    <mergeCell ref="AD60:AD61"/>
    <mergeCell ref="AC66:AC67"/>
    <mergeCell ref="D8:D9"/>
    <mergeCell ref="N24:N25"/>
    <mergeCell ref="S20:S21"/>
    <mergeCell ref="P24:P25"/>
    <mergeCell ref="U20:U21"/>
    <mergeCell ref="H24:H25"/>
    <mergeCell ref="AJ32:AJ33"/>
    <mergeCell ref="AB10:AB11"/>
    <mergeCell ref="F48:F49"/>
    <mergeCell ref="H48:H49"/>
    <mergeCell ref="D10:D11"/>
    <mergeCell ref="S22:S23"/>
    <mergeCell ref="P26:P27"/>
    <mergeCell ref="U22:U23"/>
    <mergeCell ref="AA42:AA43"/>
    <mergeCell ref="AJ46:AJ47"/>
    <mergeCell ref="W28:W29"/>
    <mergeCell ref="AJ40:AJ41"/>
    <mergeCell ref="U30:U31"/>
    <mergeCell ref="W30:W31"/>
    <mergeCell ref="Y30:Y31"/>
    <mergeCell ref="X34:X35"/>
    <mergeCell ref="AA48:AA49"/>
    <mergeCell ref="AI32:AI33"/>
    <mergeCell ref="AE68:AE69"/>
    <mergeCell ref="AD50:AD51"/>
    <mergeCell ref="AI46:AI47"/>
    <mergeCell ref="C60:C61"/>
    <mergeCell ref="X44:X45"/>
    <mergeCell ref="W8:W9"/>
    <mergeCell ref="J12:J13"/>
    <mergeCell ref="C32:C33"/>
    <mergeCell ref="E26:E27"/>
    <mergeCell ref="G26:G27"/>
    <mergeCell ref="U10:U11"/>
    <mergeCell ref="D30:D31"/>
    <mergeCell ref="W10:W11"/>
    <mergeCell ref="J14:J15"/>
    <mergeCell ref="O10:O11"/>
    <mergeCell ref="C34:C35"/>
    <mergeCell ref="F10:F11"/>
    <mergeCell ref="O18:O19"/>
    <mergeCell ref="U34:U35"/>
    <mergeCell ref="P38:P39"/>
    <mergeCell ref="R38:R39"/>
    <mergeCell ref="C42:C43"/>
    <mergeCell ref="E42:E43"/>
    <mergeCell ref="J38:J39"/>
    <mergeCell ref="AA20:AA21"/>
    <mergeCell ref="AJ48:AJ49"/>
    <mergeCell ref="E44:E45"/>
    <mergeCell ref="J40:J41"/>
    <mergeCell ref="AB26:AB27"/>
    <mergeCell ref="X24:X25"/>
    <mergeCell ref="R40:R41"/>
    <mergeCell ref="C44:C45"/>
    <mergeCell ref="AI22:AI23"/>
    <mergeCell ref="R20:R21"/>
    <mergeCell ref="D28:D29"/>
    <mergeCell ref="I24:I25"/>
    <mergeCell ref="M32:M33"/>
    <mergeCell ref="E32:E33"/>
    <mergeCell ref="R22:R23"/>
    <mergeCell ref="T22:T23"/>
    <mergeCell ref="N46:N47"/>
    <mergeCell ref="P46:P47"/>
    <mergeCell ref="Q40:Q41"/>
    <mergeCell ref="V36:V37"/>
    <mergeCell ref="V30:V31"/>
    <mergeCell ref="AI26:AI27"/>
    <mergeCell ref="AA26:AA27"/>
    <mergeCell ref="X30:X31"/>
    <mergeCell ref="A26:A27"/>
    <mergeCell ref="A60:B61"/>
    <mergeCell ref="C68:C69"/>
    <mergeCell ref="E16:E17"/>
    <mergeCell ref="A50:A51"/>
    <mergeCell ref="Q72:Q73"/>
    <mergeCell ref="U36:U37"/>
    <mergeCell ref="P40:P41"/>
    <mergeCell ref="H40:H41"/>
    <mergeCell ref="R16:R17"/>
    <mergeCell ref="R72:R73"/>
    <mergeCell ref="D66:E67"/>
    <mergeCell ref="A30:A31"/>
    <mergeCell ref="C30:C31"/>
    <mergeCell ref="H26:H27"/>
    <mergeCell ref="J72:J73"/>
    <mergeCell ref="A40:A41"/>
    <mergeCell ref="F70:F71"/>
    <mergeCell ref="F32:F33"/>
    <mergeCell ref="I22:I23"/>
    <mergeCell ref="K22:K23"/>
    <mergeCell ref="M22:M23"/>
    <mergeCell ref="O50:O51"/>
    <mergeCell ref="C70:C71"/>
    <mergeCell ref="H46:H47"/>
    <mergeCell ref="P68:P69"/>
    <mergeCell ref="R64:R65"/>
    <mergeCell ref="J64:J65"/>
    <mergeCell ref="D42:D43"/>
    <mergeCell ref="V50:V51"/>
    <mergeCell ref="A70:B71"/>
    <mergeCell ref="X50:X51"/>
    <mergeCell ref="AH16:AH17"/>
    <mergeCell ref="AF70:AF71"/>
    <mergeCell ref="W34:W35"/>
    <mergeCell ref="AF18:AF19"/>
    <mergeCell ref="AH18:AH19"/>
    <mergeCell ref="AF34:AF35"/>
    <mergeCell ref="AG66:AG67"/>
    <mergeCell ref="AE34:AE35"/>
    <mergeCell ref="AE28:AE29"/>
    <mergeCell ref="AG28:AG29"/>
    <mergeCell ref="C66:C67"/>
    <mergeCell ref="AG68:AG69"/>
    <mergeCell ref="A20:A21"/>
    <mergeCell ref="AF66:AF67"/>
    <mergeCell ref="AH68:AH69"/>
    <mergeCell ref="C50:C51"/>
    <mergeCell ref="P8:P9"/>
    <mergeCell ref="G20:G21"/>
    <mergeCell ref="L10:L11"/>
    <mergeCell ref="D24:D25"/>
    <mergeCell ref="N10:N11"/>
    <mergeCell ref="I14:I15"/>
    <mergeCell ref="K14:K15"/>
    <mergeCell ref="P66:P67"/>
    <mergeCell ref="AC22:AC23"/>
    <mergeCell ref="R66:R67"/>
    <mergeCell ref="X38:X39"/>
    <mergeCell ref="AC34:AC35"/>
    <mergeCell ref="Z38:Z39"/>
    <mergeCell ref="M42:M43"/>
    <mergeCell ref="O42:O43"/>
    <mergeCell ref="D50:D51"/>
    <mergeCell ref="D44:D45"/>
    <mergeCell ref="AA66:AA67"/>
    <mergeCell ref="P62:P63"/>
    <mergeCell ref="X66:X67"/>
    <mergeCell ref="R62:R63"/>
    <mergeCell ref="J62:J63"/>
    <mergeCell ref="P64:P65"/>
    <mergeCell ref="W60:W61"/>
    <mergeCell ref="AJ16:AJ17"/>
    <mergeCell ref="G32:G33"/>
    <mergeCell ref="R68:R69"/>
    <mergeCell ref="X40:X41"/>
    <mergeCell ref="M44:M45"/>
    <mergeCell ref="AE30:AE31"/>
    <mergeCell ref="AG30:AG31"/>
    <mergeCell ref="E22:E23"/>
    <mergeCell ref="G46:G47"/>
    <mergeCell ref="T36:T37"/>
    <mergeCell ref="I46:I47"/>
    <mergeCell ref="Q62:Q63"/>
    <mergeCell ref="AB20:AB21"/>
    <mergeCell ref="W24:W25"/>
    <mergeCell ref="F44:F45"/>
    <mergeCell ref="Y24:Y25"/>
    <mergeCell ref="AD20:AD21"/>
    <mergeCell ref="I40:I41"/>
    <mergeCell ref="E48:E49"/>
    <mergeCell ref="G48:G49"/>
    <mergeCell ref="Q64:Q65"/>
    <mergeCell ref="AB22:AB23"/>
    <mergeCell ref="Y26:Y27"/>
    <mergeCell ref="AH42:AH43"/>
    <mergeCell ref="R12:R13"/>
    <mergeCell ref="H36:H37"/>
    <mergeCell ref="J36:J37"/>
    <mergeCell ref="W50:W51"/>
    <mergeCell ref="AE10:AE11"/>
    <mergeCell ref="Y50:Y51"/>
    <mergeCell ref="Y16:Y17"/>
    <mergeCell ref="I20:I21"/>
    <mergeCell ref="Q14:Q15"/>
    <mergeCell ref="N18:N19"/>
    <mergeCell ref="J34:J35"/>
    <mergeCell ref="M10:M11"/>
    <mergeCell ref="O32:O33"/>
    <mergeCell ref="H22:H23"/>
    <mergeCell ref="L42:L43"/>
    <mergeCell ref="N42:N43"/>
    <mergeCell ref="O22:O23"/>
    <mergeCell ref="W36:W37"/>
    <mergeCell ref="J28:J29"/>
    <mergeCell ref="O24:O25"/>
    <mergeCell ref="L28:L29"/>
    <mergeCell ref="Q18:Q19"/>
    <mergeCell ref="AA40:AA41"/>
    <mergeCell ref="Z22:Z23"/>
    <mergeCell ref="Y18:Y19"/>
    <mergeCell ref="G22:G23"/>
    <mergeCell ref="D38:D39"/>
    <mergeCell ref="V46:V47"/>
    <mergeCell ref="X46:X47"/>
    <mergeCell ref="AD8:AD9"/>
    <mergeCell ref="Z46:Z47"/>
    <mergeCell ref="Q12:Q13"/>
    <mergeCell ref="AH32:AH33"/>
    <mergeCell ref="S12:S13"/>
    <mergeCell ref="AE36:AE37"/>
    <mergeCell ref="L16:L17"/>
    <mergeCell ref="N16:N17"/>
    <mergeCell ref="D40:D41"/>
    <mergeCell ref="F40:F41"/>
    <mergeCell ref="I30:I31"/>
    <mergeCell ref="AD10:AD11"/>
    <mergeCell ref="K30:K31"/>
    <mergeCell ref="N26:N27"/>
    <mergeCell ref="AF10:AF11"/>
    <mergeCell ref="H34:H35"/>
    <mergeCell ref="AD28:AD29"/>
    <mergeCell ref="D32:D33"/>
    <mergeCell ref="AE8:AE9"/>
    <mergeCell ref="AI16:AI17"/>
    <mergeCell ref="AB36:AB37"/>
    <mergeCell ref="A8:A9"/>
    <mergeCell ref="AD30:AD31"/>
    <mergeCell ref="AF30:AF31"/>
    <mergeCell ref="C8:C9"/>
    <mergeCell ref="AI18:AI19"/>
    <mergeCell ref="A58:B59"/>
    <mergeCell ref="F46:F47"/>
    <mergeCell ref="A10:A11"/>
    <mergeCell ref="I34:I35"/>
    <mergeCell ref="W58:W59"/>
    <mergeCell ref="K34:K35"/>
    <mergeCell ref="K28:K29"/>
    <mergeCell ref="T32:T33"/>
    <mergeCell ref="T28:T29"/>
    <mergeCell ref="AA22:AA23"/>
    <mergeCell ref="AI42:AI43"/>
    <mergeCell ref="AC32:AC33"/>
    <mergeCell ref="AH22:AH23"/>
    <mergeCell ref="C18:C19"/>
    <mergeCell ref="O20:O21"/>
    <mergeCell ref="A36:A37"/>
    <mergeCell ref="Q20:Q21"/>
    <mergeCell ref="AG38:AG39"/>
    <mergeCell ref="AJ22:AJ23"/>
    <mergeCell ref="AE26:AE27"/>
    <mergeCell ref="N72:N73"/>
    <mergeCell ref="AG26:AG27"/>
    <mergeCell ref="AE50:AE51"/>
    <mergeCell ref="T30:T31"/>
    <mergeCell ref="D56:E57"/>
    <mergeCell ref="AI44:AI45"/>
    <mergeCell ref="L32:L33"/>
    <mergeCell ref="I36:I37"/>
    <mergeCell ref="O72:O73"/>
    <mergeCell ref="AI68:AI69"/>
    <mergeCell ref="AE24:AE25"/>
    <mergeCell ref="M50:M51"/>
    <mergeCell ref="X48:X49"/>
    <mergeCell ref="AJ42:AJ43"/>
    <mergeCell ref="F22:F23"/>
    <mergeCell ref="AH50:AH51"/>
    <mergeCell ref="D72:E73"/>
    <mergeCell ref="W26:W27"/>
    <mergeCell ref="J30:J31"/>
    <mergeCell ref="O26:O27"/>
    <mergeCell ref="L30:L31"/>
    <mergeCell ref="U18:U19"/>
    <mergeCell ref="S36:S37"/>
    <mergeCell ref="V10:V11"/>
    <mergeCell ref="AD34:AD35"/>
    <mergeCell ref="AH38:AH39"/>
    <mergeCell ref="Q22:Q23"/>
    <mergeCell ref="AJ38:AJ39"/>
    <mergeCell ref="F66:F67"/>
    <mergeCell ref="S28:S29"/>
    <mergeCell ref="X18:X19"/>
    <mergeCell ref="AH40:AH41"/>
    <mergeCell ref="AD26:AD27"/>
    <mergeCell ref="Q30:Q31"/>
    <mergeCell ref="S30:S31"/>
    <mergeCell ref="W46:W47"/>
    <mergeCell ref="J50:J51"/>
    <mergeCell ref="P12:P13"/>
    <mergeCell ref="O46:O47"/>
    <mergeCell ref="L50:L51"/>
    <mergeCell ref="Q46:Q47"/>
    <mergeCell ref="Y46:Y47"/>
    <mergeCell ref="AJ20:AJ21"/>
    <mergeCell ref="T34:T35"/>
    <mergeCell ref="AG24:AG25"/>
    <mergeCell ref="P72:P73"/>
    <mergeCell ref="D62:E63"/>
    <mergeCell ref="C26:C27"/>
    <mergeCell ref="X62:X63"/>
    <mergeCell ref="K44:K45"/>
    <mergeCell ref="AI20:AI21"/>
    <mergeCell ref="AE58:AE59"/>
    <mergeCell ref="J70:J71"/>
    <mergeCell ref="D64:E65"/>
    <mergeCell ref="X64:X65"/>
    <mergeCell ref="AE60:AE61"/>
    <mergeCell ref="AF26:AF27"/>
    <mergeCell ref="Q34:Q35"/>
    <mergeCell ref="F38:F39"/>
    <mergeCell ref="AH46:AH47"/>
    <mergeCell ref="I64:I65"/>
    <mergeCell ref="J46:J47"/>
    <mergeCell ref="V32:V33"/>
    <mergeCell ref="Q36:Q37"/>
    <mergeCell ref="C62:C63"/>
    <mergeCell ref="J58:J59"/>
    <mergeCell ref="Q48:Q49"/>
    <mergeCell ref="AE32:AE33"/>
    <mergeCell ref="C64:C65"/>
    <mergeCell ref="A44:A45"/>
    <mergeCell ref="X26:X27"/>
    <mergeCell ref="AA14:AA15"/>
    <mergeCell ref="AH66:AH67"/>
    <mergeCell ref="AE70:AE71"/>
    <mergeCell ref="N20:N21"/>
    <mergeCell ref="P20:P21"/>
    <mergeCell ref="K24:K25"/>
    <mergeCell ref="C24:C25"/>
    <mergeCell ref="E24:E25"/>
    <mergeCell ref="A24:A25"/>
    <mergeCell ref="AB44:AB45"/>
    <mergeCell ref="AD44:AD45"/>
    <mergeCell ref="A68:B69"/>
    <mergeCell ref="A42:A43"/>
    <mergeCell ref="P14:P15"/>
    <mergeCell ref="R14:R15"/>
    <mergeCell ref="E18:E19"/>
    <mergeCell ref="AB42:AB43"/>
    <mergeCell ref="AD42:AD43"/>
    <mergeCell ref="T42:T43"/>
    <mergeCell ref="V42:V43"/>
    <mergeCell ref="N32:N33"/>
    <mergeCell ref="K36:K37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A2" sqref="A2:F14"/>
    </sheetView>
  </sheetViews>
  <sheetFormatPr defaultColWidth="9" defaultRowHeight="15" customHeight="1" x14ac:dyDescent="0.2"/>
  <cols>
    <col min="1" max="6" width="16.33203125" customWidth="1"/>
  </cols>
  <sheetData>
    <row r="1" spans="1:6" ht="15" customHeight="1" x14ac:dyDescent="0.2">
      <c r="A1" s="54" t="s">
        <v>10</v>
      </c>
      <c r="B1" s="54" t="s">
        <v>11</v>
      </c>
      <c r="C1" s="54" t="s">
        <v>12</v>
      </c>
      <c r="D1" s="54" t="s">
        <v>13</v>
      </c>
      <c r="E1" s="54" t="s">
        <v>14</v>
      </c>
      <c r="F1" s="54" t="s">
        <v>15</v>
      </c>
    </row>
    <row r="2" spans="1:6" ht="15" customHeight="1" thickBot="1" x14ac:dyDescent="0.25">
      <c r="A2" s="45"/>
      <c r="B2" s="45"/>
      <c r="C2" s="46"/>
      <c r="D2" s="46"/>
      <c r="E2" s="46"/>
      <c r="F2" s="47"/>
    </row>
    <row r="3" spans="1:6" ht="15" customHeight="1" thickBot="1" x14ac:dyDescent="0.25">
      <c r="A3" s="48"/>
      <c r="B3" s="48"/>
      <c r="C3" s="49"/>
      <c r="D3" s="49"/>
      <c r="E3" s="49"/>
      <c r="F3" s="50"/>
    </row>
    <row r="4" spans="1:6" ht="15" customHeight="1" thickBot="1" x14ac:dyDescent="0.25">
      <c r="A4" s="45"/>
      <c r="B4" s="45"/>
      <c r="C4" s="46"/>
      <c r="D4" s="46"/>
      <c r="E4" s="46"/>
      <c r="F4" s="47"/>
    </row>
    <row r="5" spans="1:6" ht="15" customHeight="1" thickBot="1" x14ac:dyDescent="0.25">
      <c r="A5" s="48"/>
      <c r="B5" s="48"/>
      <c r="C5" s="49"/>
      <c r="D5" s="49"/>
      <c r="E5" s="49"/>
      <c r="F5" s="50"/>
    </row>
    <row r="6" spans="1:6" ht="15" customHeight="1" thickBot="1" x14ac:dyDescent="0.25">
      <c r="A6" s="45"/>
      <c r="B6" s="45"/>
      <c r="C6" s="46"/>
      <c r="D6" s="46"/>
      <c r="E6" s="46"/>
      <c r="F6" s="47"/>
    </row>
    <row r="7" spans="1:6" ht="15" customHeight="1" thickBot="1" x14ac:dyDescent="0.25">
      <c r="A7" s="48"/>
      <c r="B7" s="48"/>
      <c r="C7" s="49"/>
      <c r="D7" s="49"/>
      <c r="E7" s="49"/>
      <c r="F7" s="50"/>
    </row>
    <row r="8" spans="1:6" ht="15" customHeight="1" thickBot="1" x14ac:dyDescent="0.25">
      <c r="A8" s="45"/>
      <c r="B8" s="45"/>
      <c r="C8" s="46"/>
      <c r="D8" s="46"/>
      <c r="E8" s="46"/>
      <c r="F8" s="47"/>
    </row>
    <row r="9" spans="1:6" ht="15" customHeight="1" thickBot="1" x14ac:dyDescent="0.25">
      <c r="A9" s="48"/>
      <c r="B9" s="48"/>
      <c r="C9" s="49"/>
      <c r="D9" s="49"/>
      <c r="E9" s="49"/>
      <c r="F9" s="50"/>
    </row>
    <row r="10" spans="1:6" ht="15" customHeight="1" thickBot="1" x14ac:dyDescent="0.25">
      <c r="A10" s="45"/>
      <c r="B10" s="45"/>
      <c r="C10" s="46"/>
      <c r="D10" s="46"/>
      <c r="E10" s="46"/>
      <c r="F10" s="47"/>
    </row>
    <row r="11" spans="1:6" ht="15" customHeight="1" thickBot="1" x14ac:dyDescent="0.25">
      <c r="A11" s="48"/>
      <c r="B11" s="48"/>
      <c r="C11" s="49"/>
      <c r="D11" s="49"/>
      <c r="E11" s="49"/>
      <c r="F11" s="50"/>
    </row>
    <row r="12" spans="1:6" ht="15" customHeight="1" thickBot="1" x14ac:dyDescent="0.25">
      <c r="A12" s="45"/>
      <c r="B12" s="45"/>
      <c r="C12" s="46"/>
      <c r="D12" s="46"/>
      <c r="E12" s="46"/>
      <c r="F12" s="47"/>
    </row>
    <row r="13" spans="1:6" ht="15" customHeight="1" thickBot="1" x14ac:dyDescent="0.25">
      <c r="A13" s="51"/>
      <c r="B13" s="51"/>
      <c r="C13" s="52"/>
      <c r="D13" s="52"/>
      <c r="E13" s="52"/>
      <c r="F13" s="53"/>
    </row>
    <row r="14" spans="1:6" ht="13.2" customHeight="1" x14ac:dyDescent="0.2"/>
    <row r="15" spans="1:6" ht="13.2" customHeight="1" x14ac:dyDescent="0.2"/>
    <row r="16" spans="1:6" ht="13.2" customHeight="1" x14ac:dyDescent="0.2"/>
    <row r="17" ht="13.2" customHeight="1" x14ac:dyDescent="0.2"/>
    <row r="18" ht="13.2" customHeight="1" x14ac:dyDescent="0.2"/>
    <row r="19" ht="13.2" customHeight="1" x14ac:dyDescent="0.2"/>
    <row r="20" ht="13.2" customHeight="1" x14ac:dyDescent="0.2"/>
    <row r="21" ht="13.2" customHeight="1" x14ac:dyDescent="0.2"/>
    <row r="22" ht="13.2" customHeight="1" x14ac:dyDescent="0.2"/>
    <row r="23" ht="13.2" customHeight="1" x14ac:dyDescent="0.2"/>
    <row r="24" ht="13.2" customHeight="1" x14ac:dyDescent="0.2"/>
    <row r="25" ht="13.2" customHeight="1" x14ac:dyDescent="0.2"/>
    <row r="26" ht="13.2" customHeight="1" x14ac:dyDescent="0.2"/>
    <row r="27" ht="13.2" customHeight="1" x14ac:dyDescent="0.2"/>
    <row r="28" ht="13.2" customHeight="1" x14ac:dyDescent="0.2"/>
    <row r="29" ht="13.2" customHeight="1" x14ac:dyDescent="0.2"/>
    <row r="30" ht="13.2" customHeight="1" x14ac:dyDescent="0.2"/>
    <row r="31" ht="13.2" customHeight="1" x14ac:dyDescent="0.2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80"/>
  <sheetViews>
    <sheetView workbookViewId="0">
      <selection activeCell="B2" sqref="B2"/>
    </sheetView>
  </sheetViews>
  <sheetFormatPr defaultColWidth="16.5546875" defaultRowHeight="25.2" customHeight="1" x14ac:dyDescent="0.2"/>
  <cols>
    <col min="1" max="1" width="4.44140625" style="41" customWidth="1"/>
    <col min="2" max="2" width="16.5546875" style="41" customWidth="1"/>
    <col min="3" max="3" width="10.5546875" style="41" bestFit="1" customWidth="1"/>
    <col min="4" max="4" width="9.5546875" style="41" bestFit="1" customWidth="1"/>
    <col min="5" max="7" width="16.5546875" style="41" customWidth="1"/>
    <col min="8" max="16384" width="16.5546875" style="41"/>
  </cols>
  <sheetData>
    <row r="1" spans="2:35" ht="26.4" customHeight="1" x14ac:dyDescent="0.2"/>
    <row r="2" spans="2:35" ht="26.4" customHeight="1" x14ac:dyDescent="0.2">
      <c r="B2" s="42"/>
      <c r="C2" s="42" t="s">
        <v>2</v>
      </c>
      <c r="D2" s="42" t="s">
        <v>0</v>
      </c>
      <c r="E2" s="42">
        <v>1</v>
      </c>
      <c r="F2" s="42">
        <v>2</v>
      </c>
      <c r="G2" s="42">
        <v>3</v>
      </c>
      <c r="H2" s="42">
        <v>4</v>
      </c>
      <c r="I2" s="42">
        <v>5</v>
      </c>
      <c r="J2" s="42">
        <v>6</v>
      </c>
      <c r="K2" s="42">
        <v>7</v>
      </c>
      <c r="L2" s="42">
        <v>8</v>
      </c>
      <c r="M2" s="42">
        <v>9</v>
      </c>
      <c r="N2" s="42">
        <v>10</v>
      </c>
      <c r="O2" s="42">
        <v>11</v>
      </c>
      <c r="P2" s="42">
        <v>12</v>
      </c>
      <c r="Q2" s="42">
        <v>13</v>
      </c>
      <c r="R2" s="42">
        <v>14</v>
      </c>
      <c r="S2" s="42">
        <v>15</v>
      </c>
      <c r="T2" s="42">
        <v>16</v>
      </c>
      <c r="U2" s="42">
        <v>17</v>
      </c>
      <c r="V2" s="42">
        <v>18</v>
      </c>
      <c r="W2" s="42">
        <v>19</v>
      </c>
      <c r="X2" s="42">
        <v>20</v>
      </c>
      <c r="Y2" s="42">
        <v>21</v>
      </c>
      <c r="Z2" s="42">
        <v>22</v>
      </c>
      <c r="AA2" s="42">
        <v>23</v>
      </c>
      <c r="AB2" s="42">
        <v>24</v>
      </c>
      <c r="AC2" s="42">
        <v>25</v>
      </c>
      <c r="AD2" s="42">
        <v>26</v>
      </c>
      <c r="AE2" s="42">
        <v>27</v>
      </c>
      <c r="AF2" s="42">
        <v>28</v>
      </c>
      <c r="AG2" s="42">
        <v>29</v>
      </c>
      <c r="AH2" s="42">
        <v>30</v>
      </c>
      <c r="AI2" s="42">
        <v>31</v>
      </c>
    </row>
    <row r="3" spans="2:35" ht="21" customHeight="1" x14ac:dyDescent="0.2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</row>
    <row r="4" spans="2:35" ht="21" customHeight="1" x14ac:dyDescent="0.2"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</row>
    <row r="5" spans="2:35" ht="21" customHeight="1" x14ac:dyDescent="0.2"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</row>
    <row r="6" spans="2:35" ht="21" customHeight="1" x14ac:dyDescent="0.2"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</row>
    <row r="7" spans="2:35" ht="21" customHeight="1" x14ac:dyDescent="0.2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spans="2:35" ht="21" customHeight="1" x14ac:dyDescent="0.2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</row>
    <row r="9" spans="2:35" ht="21" customHeight="1" x14ac:dyDescent="0.2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</row>
    <row r="10" spans="2:35" ht="21" customHeight="1" x14ac:dyDescent="0.2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</row>
    <row r="11" spans="2:35" ht="21" customHeight="1" x14ac:dyDescent="0.2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2:35" ht="21" customHeight="1" x14ac:dyDescent="0.2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2:35" ht="21" customHeight="1" x14ac:dyDescent="0.2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</row>
    <row r="14" spans="2:35" ht="21" customHeight="1" x14ac:dyDescent="0.2"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</row>
    <row r="15" spans="2:35" ht="21" customHeight="1" x14ac:dyDescent="0.2"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</row>
    <row r="16" spans="2:35" ht="21" customHeight="1" x14ac:dyDescent="0.2"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</row>
    <row r="17" spans="2:35" ht="21" customHeight="1" x14ac:dyDescent="0.2"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</row>
    <row r="18" spans="2:35" ht="21" customHeight="1" x14ac:dyDescent="0.2"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</row>
    <row r="19" spans="2:35" ht="21" customHeight="1" x14ac:dyDescent="0.2"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</row>
    <row r="20" spans="2:35" ht="21" customHeight="1" x14ac:dyDescent="0.2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</row>
    <row r="21" spans="2:35" ht="21" customHeight="1" x14ac:dyDescent="0.2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</row>
    <row r="22" spans="2:35" ht="21" customHeight="1" x14ac:dyDescent="0.2"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</row>
    <row r="23" spans="2:35" ht="21" customHeight="1" x14ac:dyDescent="0.2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</row>
    <row r="24" spans="2:35" ht="21" customHeight="1" x14ac:dyDescent="0.2"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</row>
    <row r="25" spans="2:35" ht="21" customHeight="1" x14ac:dyDescent="0.2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</row>
    <row r="26" spans="2:35" ht="21" customHeight="1" x14ac:dyDescent="0.2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</row>
    <row r="27" spans="2:35" ht="21" customHeight="1" x14ac:dyDescent="0.2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</row>
    <row r="28" spans="2:35" ht="21" customHeight="1" x14ac:dyDescent="0.2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  <row r="29" spans="2:35" ht="21" customHeight="1" x14ac:dyDescent="0.2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</row>
    <row r="30" spans="2:35" ht="21" customHeight="1" x14ac:dyDescent="0.2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  <row r="31" spans="2:35" ht="21" customHeight="1" x14ac:dyDescent="0.2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</row>
    <row r="32" spans="2:35" ht="21" customHeight="1" x14ac:dyDescent="0.2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</row>
    <row r="33" spans="2:35" ht="21" customHeight="1" x14ac:dyDescent="0.2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</row>
    <row r="34" spans="2:35" ht="21" customHeight="1" x14ac:dyDescent="0.2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</row>
    <row r="35" spans="2:35" ht="21" customHeight="1" x14ac:dyDescent="0.2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</row>
    <row r="36" spans="2:35" ht="21" customHeight="1" x14ac:dyDescent="0.2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</row>
    <row r="37" spans="2:35" ht="21" customHeight="1" x14ac:dyDescent="0.2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</row>
    <row r="38" spans="2:35" ht="21" customHeight="1" x14ac:dyDescent="0.2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</row>
    <row r="39" spans="2:35" ht="21" customHeight="1" x14ac:dyDescent="0.2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</row>
    <row r="40" spans="2:35" ht="21" customHeight="1" x14ac:dyDescent="0.2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</row>
    <row r="41" spans="2:35" ht="21" customHeight="1" x14ac:dyDescent="0.2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</row>
    <row r="42" spans="2:35" ht="21" customHeight="1" x14ac:dyDescent="0.2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</row>
    <row r="43" spans="2:35" ht="21" customHeight="1" x14ac:dyDescent="0.2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</row>
    <row r="44" spans="2:35" ht="21" customHeight="1" x14ac:dyDescent="0.2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</row>
    <row r="45" spans="2:35" ht="21" customHeight="1" x14ac:dyDescent="0.2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</row>
    <row r="46" spans="2:35" ht="21" customHeight="1" x14ac:dyDescent="0.2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</row>
    <row r="47" spans="2:35" ht="21" customHeight="1" x14ac:dyDescent="0.2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</row>
    <row r="48" spans="2:35" ht="21" customHeight="1" x14ac:dyDescent="0.2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</row>
    <row r="49" spans="2:35" ht="21" customHeight="1" x14ac:dyDescent="0.2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</row>
    <row r="50" spans="2:35" ht="21" customHeight="1" x14ac:dyDescent="0.2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</row>
    <row r="51" spans="2:35" ht="21" customHeight="1" x14ac:dyDescent="0.2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</row>
    <row r="52" spans="2:35" ht="21" customHeight="1" x14ac:dyDescent="0.2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</row>
    <row r="53" spans="2:35" ht="21" customHeight="1" x14ac:dyDescent="0.2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</row>
    <row r="54" spans="2:35" ht="21" customHeight="1" x14ac:dyDescent="0.2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</row>
    <row r="55" spans="2:35" ht="21" customHeight="1" x14ac:dyDescent="0.2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</row>
    <row r="56" spans="2:35" ht="21" customHeight="1" x14ac:dyDescent="0.2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</row>
    <row r="57" spans="2:35" ht="21" customHeight="1" x14ac:dyDescent="0.2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</row>
    <row r="58" spans="2:35" ht="21" customHeight="1" x14ac:dyDescent="0.2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</row>
    <row r="59" spans="2:35" ht="21" customHeight="1" x14ac:dyDescent="0.2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</row>
    <row r="60" spans="2:35" ht="21" customHeight="1" x14ac:dyDescent="0.2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</row>
    <row r="61" spans="2:35" ht="21" customHeight="1" x14ac:dyDescent="0.2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</row>
    <row r="62" spans="2:35" ht="21" customHeight="1" x14ac:dyDescent="0.2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</row>
    <row r="63" spans="2:35" ht="21" customHeight="1" x14ac:dyDescent="0.2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</row>
    <row r="64" spans="2:35" ht="21" customHeight="1" x14ac:dyDescent="0.2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</row>
    <row r="65" spans="2:35" ht="21" customHeight="1" x14ac:dyDescent="0.2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</row>
    <row r="66" spans="2:35" ht="21" customHeight="1" x14ac:dyDescent="0.2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</row>
    <row r="67" spans="2:35" ht="21" customHeight="1" x14ac:dyDescent="0.2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</row>
    <row r="68" spans="2:35" ht="21" customHeight="1" x14ac:dyDescent="0.2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</row>
    <row r="69" spans="2:35" ht="21" customHeight="1" x14ac:dyDescent="0.2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</row>
    <row r="70" spans="2:35" ht="21" customHeight="1" x14ac:dyDescent="0.2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</row>
    <row r="71" spans="2:35" ht="21" customHeight="1" x14ac:dyDescent="0.2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</row>
    <row r="72" spans="2:35" ht="21" customHeight="1" x14ac:dyDescent="0.2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</row>
    <row r="73" spans="2:35" ht="21" customHeight="1" x14ac:dyDescent="0.2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</row>
    <row r="74" spans="2:35" ht="21" customHeight="1" x14ac:dyDescent="0.2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</row>
    <row r="75" spans="2:35" ht="21" customHeight="1" x14ac:dyDescent="0.2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</row>
    <row r="76" spans="2:35" ht="21" customHeight="1" x14ac:dyDescent="0.2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</row>
    <row r="77" spans="2:35" ht="21" customHeight="1" x14ac:dyDescent="0.2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</row>
    <row r="78" spans="2:35" ht="21" customHeight="1" x14ac:dyDescent="0.2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</row>
    <row r="79" spans="2:35" ht="21" customHeight="1" x14ac:dyDescent="0.2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</row>
    <row r="80" spans="2:35" ht="13.2" customHeight="1" x14ac:dyDescent="0.2"/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79"/>
  <sheetViews>
    <sheetView workbookViewId="0">
      <selection activeCell="A3" sqref="A3:XFD80"/>
    </sheetView>
  </sheetViews>
  <sheetFormatPr defaultColWidth="16.5546875" defaultRowHeight="13.2" x14ac:dyDescent="0.2"/>
  <cols>
    <col min="1" max="1" width="4.44140625" style="41" customWidth="1"/>
    <col min="2" max="2" width="16.5546875" style="41" customWidth="1"/>
    <col min="3" max="3" width="10.5546875" style="41" bestFit="1" customWidth="1"/>
    <col min="4" max="4" width="9.5546875" style="41" bestFit="1" customWidth="1"/>
    <col min="5" max="7" width="16.5546875" style="41" customWidth="1"/>
    <col min="8" max="16384" width="16.5546875" style="41"/>
  </cols>
  <sheetData>
    <row r="1" spans="2:35" ht="26.4" customHeight="1" x14ac:dyDescent="0.2"/>
    <row r="2" spans="2:35" ht="26.4" customHeight="1" x14ac:dyDescent="0.2">
      <c r="B2" s="42"/>
      <c r="C2" s="42" t="s">
        <v>2</v>
      </c>
      <c r="D2" s="42" t="s">
        <v>0</v>
      </c>
      <c r="E2" s="42">
        <v>1</v>
      </c>
      <c r="F2" s="42">
        <v>2</v>
      </c>
      <c r="G2" s="42">
        <v>3</v>
      </c>
      <c r="H2" s="42">
        <v>4</v>
      </c>
      <c r="I2" s="42">
        <v>5</v>
      </c>
      <c r="J2" s="42">
        <v>6</v>
      </c>
      <c r="K2" s="42">
        <v>7</v>
      </c>
      <c r="L2" s="42">
        <v>8</v>
      </c>
      <c r="M2" s="42">
        <v>9</v>
      </c>
      <c r="N2" s="42">
        <v>10</v>
      </c>
      <c r="O2" s="42">
        <v>11</v>
      </c>
      <c r="P2" s="42">
        <v>12</v>
      </c>
      <c r="Q2" s="42">
        <v>13</v>
      </c>
      <c r="R2" s="42">
        <v>14</v>
      </c>
      <c r="S2" s="42">
        <v>15</v>
      </c>
      <c r="T2" s="42">
        <v>16</v>
      </c>
      <c r="U2" s="42">
        <v>17</v>
      </c>
      <c r="V2" s="42">
        <v>18</v>
      </c>
      <c r="W2" s="42">
        <v>19</v>
      </c>
      <c r="X2" s="42">
        <v>20</v>
      </c>
      <c r="Y2" s="42">
        <v>21</v>
      </c>
      <c r="Z2" s="42">
        <v>22</v>
      </c>
      <c r="AA2" s="42">
        <v>23</v>
      </c>
      <c r="AB2" s="42">
        <v>24</v>
      </c>
      <c r="AC2" s="42">
        <v>25</v>
      </c>
      <c r="AD2" s="42">
        <v>26</v>
      </c>
      <c r="AE2" s="42">
        <v>27</v>
      </c>
      <c r="AF2" s="42">
        <v>28</v>
      </c>
      <c r="AG2" s="42">
        <v>29</v>
      </c>
      <c r="AH2" s="42">
        <v>30</v>
      </c>
      <c r="AI2" s="42">
        <v>31</v>
      </c>
    </row>
    <row r="3" spans="2:35" ht="21" customHeight="1" x14ac:dyDescent="0.2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</row>
    <row r="4" spans="2:35" ht="21" customHeight="1" x14ac:dyDescent="0.2"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</row>
    <row r="5" spans="2:35" ht="21" customHeight="1" x14ac:dyDescent="0.2"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</row>
    <row r="6" spans="2:35" ht="21" customHeight="1" x14ac:dyDescent="0.2"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</row>
    <row r="7" spans="2:35" ht="21" customHeight="1" x14ac:dyDescent="0.2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spans="2:35" ht="21" customHeight="1" x14ac:dyDescent="0.2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</row>
    <row r="9" spans="2:35" ht="21" customHeight="1" x14ac:dyDescent="0.2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</row>
    <row r="10" spans="2:35" ht="21" customHeight="1" x14ac:dyDescent="0.2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</row>
    <row r="11" spans="2:35" ht="21" customHeight="1" x14ac:dyDescent="0.2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pans="2:35" ht="21" customHeight="1" x14ac:dyDescent="0.2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pans="2:35" ht="21" customHeight="1" x14ac:dyDescent="0.2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</row>
    <row r="14" spans="2:35" ht="21" customHeight="1" x14ac:dyDescent="0.2"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</row>
    <row r="15" spans="2:35" ht="21" customHeight="1" x14ac:dyDescent="0.2"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</row>
    <row r="16" spans="2:35" ht="21" customHeight="1" x14ac:dyDescent="0.2"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</row>
    <row r="17" spans="2:35" ht="21" customHeight="1" x14ac:dyDescent="0.2"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</row>
    <row r="18" spans="2:35" ht="21" customHeight="1" x14ac:dyDescent="0.2"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</row>
    <row r="19" spans="2:35" ht="21" customHeight="1" x14ac:dyDescent="0.2"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</row>
    <row r="20" spans="2:35" ht="21" customHeight="1" x14ac:dyDescent="0.2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</row>
    <row r="21" spans="2:35" ht="21" customHeight="1" x14ac:dyDescent="0.2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</row>
    <row r="22" spans="2:35" ht="21" customHeight="1" x14ac:dyDescent="0.2"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</row>
    <row r="23" spans="2:35" ht="21" customHeight="1" x14ac:dyDescent="0.2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</row>
    <row r="24" spans="2:35" ht="21" customHeight="1" x14ac:dyDescent="0.2"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</row>
    <row r="25" spans="2:35" ht="21" customHeight="1" x14ac:dyDescent="0.2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</row>
    <row r="26" spans="2:35" ht="21" customHeight="1" x14ac:dyDescent="0.2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</row>
    <row r="27" spans="2:35" ht="21" customHeight="1" x14ac:dyDescent="0.2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</row>
    <row r="28" spans="2:35" ht="21" customHeight="1" x14ac:dyDescent="0.2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  <row r="29" spans="2:35" ht="21" customHeight="1" x14ac:dyDescent="0.2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</row>
    <row r="30" spans="2:35" ht="21" customHeight="1" x14ac:dyDescent="0.2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  <row r="31" spans="2:35" ht="21" customHeight="1" x14ac:dyDescent="0.2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</row>
    <row r="32" spans="2:35" ht="21" customHeight="1" x14ac:dyDescent="0.2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</row>
    <row r="33" spans="2:35" ht="21" customHeight="1" x14ac:dyDescent="0.2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</row>
    <row r="34" spans="2:35" ht="21" customHeight="1" x14ac:dyDescent="0.2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</row>
    <row r="35" spans="2:35" ht="21" customHeight="1" x14ac:dyDescent="0.2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</row>
    <row r="36" spans="2:35" ht="21" customHeight="1" x14ac:dyDescent="0.2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</row>
    <row r="37" spans="2:35" ht="21" customHeight="1" x14ac:dyDescent="0.2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</row>
    <row r="38" spans="2:35" ht="21" customHeight="1" x14ac:dyDescent="0.2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</row>
    <row r="39" spans="2:35" ht="21" customHeight="1" x14ac:dyDescent="0.2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</row>
    <row r="40" spans="2:35" ht="21" customHeight="1" x14ac:dyDescent="0.2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</row>
    <row r="41" spans="2:35" ht="21" customHeight="1" x14ac:dyDescent="0.2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</row>
    <row r="42" spans="2:35" ht="21" customHeight="1" x14ac:dyDescent="0.2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</row>
    <row r="43" spans="2:35" ht="21" customHeight="1" x14ac:dyDescent="0.2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</row>
    <row r="44" spans="2:35" ht="21" customHeight="1" x14ac:dyDescent="0.2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</row>
    <row r="45" spans="2:35" ht="21" customHeight="1" x14ac:dyDescent="0.2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</row>
    <row r="46" spans="2:35" ht="21" customHeight="1" x14ac:dyDescent="0.2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</row>
    <row r="47" spans="2:35" ht="21" customHeight="1" x14ac:dyDescent="0.2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</row>
    <row r="48" spans="2:35" ht="21" customHeight="1" x14ac:dyDescent="0.2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</row>
    <row r="49" spans="2:35" ht="21" customHeight="1" x14ac:dyDescent="0.2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</row>
    <row r="50" spans="2:35" ht="21" customHeight="1" x14ac:dyDescent="0.2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</row>
    <row r="51" spans="2:35" ht="21" customHeight="1" x14ac:dyDescent="0.2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</row>
    <row r="52" spans="2:35" ht="21" customHeight="1" x14ac:dyDescent="0.2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</row>
    <row r="53" spans="2:35" ht="21" customHeight="1" x14ac:dyDescent="0.2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</row>
    <row r="54" spans="2:35" ht="21" customHeight="1" x14ac:dyDescent="0.2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</row>
    <row r="55" spans="2:35" ht="21" customHeight="1" x14ac:dyDescent="0.2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</row>
    <row r="56" spans="2:35" ht="21" customHeight="1" x14ac:dyDescent="0.2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</row>
    <row r="57" spans="2:35" ht="21" customHeight="1" x14ac:dyDescent="0.2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</row>
    <row r="58" spans="2:35" ht="21" customHeight="1" x14ac:dyDescent="0.2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</row>
    <row r="59" spans="2:35" ht="21" customHeight="1" x14ac:dyDescent="0.2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</row>
    <row r="60" spans="2:35" ht="21" customHeight="1" x14ac:dyDescent="0.2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</row>
    <row r="61" spans="2:35" ht="21" customHeight="1" x14ac:dyDescent="0.2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</row>
    <row r="62" spans="2:35" ht="21" customHeight="1" x14ac:dyDescent="0.2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</row>
    <row r="63" spans="2:35" ht="21" customHeight="1" x14ac:dyDescent="0.2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</row>
    <row r="64" spans="2:35" ht="21" customHeight="1" x14ac:dyDescent="0.2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</row>
    <row r="65" spans="2:35" ht="21" customHeight="1" x14ac:dyDescent="0.2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</row>
    <row r="66" spans="2:35" ht="21" customHeight="1" x14ac:dyDescent="0.2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</row>
    <row r="67" spans="2:35" ht="21" customHeight="1" x14ac:dyDescent="0.2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</row>
    <row r="68" spans="2:35" ht="21" customHeight="1" x14ac:dyDescent="0.2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</row>
    <row r="69" spans="2:35" ht="21" customHeight="1" x14ac:dyDescent="0.2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</row>
    <row r="70" spans="2:35" ht="21" customHeight="1" x14ac:dyDescent="0.2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</row>
    <row r="71" spans="2:35" ht="21" customHeight="1" x14ac:dyDescent="0.2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</row>
    <row r="72" spans="2:35" ht="21" customHeight="1" x14ac:dyDescent="0.2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</row>
    <row r="73" spans="2:35" ht="21" customHeight="1" x14ac:dyDescent="0.2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</row>
    <row r="74" spans="2:35" ht="21" customHeight="1" x14ac:dyDescent="0.2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</row>
    <row r="75" spans="2:35" ht="21" customHeight="1" x14ac:dyDescent="0.2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</row>
    <row r="76" spans="2:35" ht="21" customHeight="1" x14ac:dyDescent="0.2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</row>
    <row r="77" spans="2:35" ht="21" customHeight="1" x14ac:dyDescent="0.2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</row>
    <row r="78" spans="2:35" ht="21" customHeight="1" x14ac:dyDescent="0.2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</row>
    <row r="79" spans="2:35" ht="21" customHeight="1" x14ac:dyDescent="0.2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0"/>
  <sheetViews>
    <sheetView tabSelected="1" workbookViewId="0">
      <selection activeCell="A3" sqref="A3"/>
    </sheetView>
  </sheetViews>
  <sheetFormatPr defaultRowHeight="13.2" x14ac:dyDescent="0.2"/>
  <cols>
    <col min="1" max="1" width="18.77734375" style="37" bestFit="1" customWidth="1"/>
    <col min="2" max="2" width="18.33203125" style="37" bestFit="1" customWidth="1"/>
    <col min="3" max="3" width="13.44140625" style="37" bestFit="1" customWidth="1"/>
    <col min="4" max="5" width="8.77734375" style="37" bestFit="1" customWidth="1"/>
    <col min="6" max="6" width="15.5546875" style="37" bestFit="1" customWidth="1"/>
    <col min="7" max="7" width="12.109375" style="37" bestFit="1" customWidth="1"/>
    <col min="8" max="9" width="9.5546875" style="41" bestFit="1" customWidth="1"/>
  </cols>
  <sheetData>
    <row r="1" spans="1:9" ht="17.399999999999999" customHeight="1" x14ac:dyDescent="0.2">
      <c r="A1" s="30" t="s">
        <v>3</v>
      </c>
      <c r="B1" s="30" t="s">
        <v>4</v>
      </c>
      <c r="C1" s="30" t="s">
        <v>1</v>
      </c>
      <c r="D1" s="31" t="s">
        <v>5</v>
      </c>
      <c r="E1" s="32" t="s">
        <v>5</v>
      </c>
      <c r="F1" s="30" t="s">
        <v>6</v>
      </c>
      <c r="G1" s="30" t="s">
        <v>7</v>
      </c>
      <c r="H1" s="30" t="s">
        <v>8</v>
      </c>
      <c r="I1" s="30" t="s">
        <v>9</v>
      </c>
    </row>
    <row r="2" spans="1:9" ht="17.399999999999999" customHeight="1" x14ac:dyDescent="0.5">
      <c r="A2" s="33" t="str" cm="1">
        <f t="array" ref="A2">IFERROR(INDEX('まとめ（登園）'!$B$3:$B$500,INT((ROW(A1)-1)/DAY(EOMONTH(貼り付け用!$B$2&amp;"1日",0)))+1)&amp;"","")</f>
        <v/>
      </c>
      <c r="B2" s="33" t="str">
        <f>IF(A2&lt;&gt;"",VLOOKUP(A2,子どもマスタ!$A$1:$F$301,2,FALSE),"")</f>
        <v/>
      </c>
      <c r="C2" s="34" t="str">
        <f>IF(A2&lt;&gt;"",
TEXT(VALUE(REPLACE(VLOOKUP(A2,子どもマスタ!$A$1:$F$301,5,FALSE),
FIND("(",VLOOKUP(A2,子どもマスタ!$A$1:$F$301,5,FALSE)),
FIND(")",VLOOKUP(A2,子どもマスタ!$A$1:$F$301,5,FALSE))
-FIND("(",VLOOKUP(A2,子どもマスタ!$A$1:$F$301,5,FALSE))+1,"")),"yyyy/mm/dd"),"")</f>
        <v/>
      </c>
      <c r="D2" s="35"/>
      <c r="E2" s="36"/>
      <c r="F2" s="34" t="str">
        <f>IF(A2="","",VALUE(貼り付け用!$B$2&amp;"1日")+MOD(ROW(A1)-1,DAY(EOMONTH(貼り付け用!$B$2&amp;"1日",0))))</f>
        <v/>
      </c>
      <c r="G2" s="34"/>
      <c r="H2" s="44" t="str">
        <f ca="1">IF(A2&lt;&gt;"",OFFSET('まとめ（登園）'!$B$1,MATCH(CSVフォーム!A2,'まとめ（登園）'!$B:$B,0)-1,MATCH(DAY(F2),'まとめ（登園）'!$2:$2,0)-2),"")</f>
        <v/>
      </c>
      <c r="I2" s="44" t="str">
        <f ca="1">IF(A2&lt;&gt;"",OFFSET('まとめ（降園）'!$B$1,MATCH(CSVフォーム!A2,'まとめ（降園）'!$B:$B,0)-1,MATCH(DAY(F2),'まとめ（降園）'!$2:$2,0)-2),"")</f>
        <v/>
      </c>
    </row>
    <row r="3" spans="1:9" ht="17.399999999999999" customHeight="1" x14ac:dyDescent="0.5">
      <c r="A3" s="33" t="str">
        <f t="array" ref="A3">IFERROR(INDEX('まとめ（登園）'!$B$3:$B$500,INT((ROW(A2)-1)/DAY(EOMONTH(貼り付け用!$B$2&amp;"1日",0)))+1)&amp;"","")</f>
        <v/>
      </c>
      <c r="B3" s="33" t="str">
        <f>IF(A3&lt;&gt;"",VLOOKUP(A3,子どもマスタ!$A$1:$F$301,2,FALSE),"")</f>
        <v/>
      </c>
      <c r="C3" s="34" t="str">
        <f>IF(A3&lt;&gt;"",
TEXT(VALUE(REPLACE(VLOOKUP(A3,子どもマスタ!$A$1:$F$301,5,FALSE),
FIND("(",VLOOKUP(A3,子どもマスタ!$A$1:$F$301,5,FALSE)),
FIND(")",VLOOKUP(A3,子どもマスタ!$A$1:$F$301,5,FALSE))
-FIND("(",VLOOKUP(A3,子どもマスタ!$A$1:$F$301,5,FALSE))+1,"")),"yyyy/mm/dd"),"")</f>
        <v/>
      </c>
      <c r="D3" s="35"/>
      <c r="E3" s="36"/>
      <c r="F3" s="34" t="str">
        <f>IF(A3="","",VALUE(貼り付け用!$B$2&amp;"1日")+MOD(ROW(A2)-1,DAY(EOMONTH(貼り付け用!$B$2&amp;"1日",0))))</f>
        <v/>
      </c>
      <c r="G3" s="34"/>
      <c r="H3" s="44" t="str">
        <f ca="1">IF(A3&lt;&gt;"",OFFSET('まとめ（登園）'!$B$1,MATCH(CSVフォーム!A3,'まとめ（登園）'!$B:$B,0)-1,MATCH(DAY(F3),'まとめ（登園）'!$2:$2,0)-2),"")</f>
        <v/>
      </c>
      <c r="I3" s="44" t="str">
        <f ca="1">IF(A3&lt;&gt;"",OFFSET('まとめ（降園）'!$B$1,MATCH(CSVフォーム!A3,'まとめ（降園）'!$B:$B,0)-1,MATCH(DAY(F3),'まとめ（降園）'!$2:$2,0)-2),"")</f>
        <v/>
      </c>
    </row>
    <row r="4" spans="1:9" ht="17.399999999999999" customHeight="1" x14ac:dyDescent="0.5">
      <c r="A4" s="33" t="str">
        <f t="array" ref="A4">IFERROR(INDEX('まとめ（登園）'!$B$3:$B$500,INT((ROW(A3)-1)/DAY(EOMONTH(貼り付け用!$B$2&amp;"1日",0)))+1)&amp;"","")</f>
        <v/>
      </c>
      <c r="B4" s="33" t="str">
        <f>IF(A4&lt;&gt;"",VLOOKUP(A4,子どもマスタ!$A$1:$F$301,2,FALSE),"")</f>
        <v/>
      </c>
      <c r="C4" s="34" t="str">
        <f>IF(A4&lt;&gt;"",
TEXT(VALUE(REPLACE(VLOOKUP(A4,子どもマスタ!$A$1:$F$301,5,FALSE),
FIND("(",VLOOKUP(A4,子どもマスタ!$A$1:$F$301,5,FALSE)),
FIND(")",VLOOKUP(A4,子どもマスタ!$A$1:$F$301,5,FALSE))
-FIND("(",VLOOKUP(A4,子どもマスタ!$A$1:$F$301,5,FALSE))+1,"")),"yyyy/mm/dd"),"")</f>
        <v/>
      </c>
      <c r="D4" s="35"/>
      <c r="E4" s="36"/>
      <c r="F4" s="34" t="str">
        <f>IF(A4="","",VALUE(貼り付け用!$B$2&amp;"1日")+MOD(ROW(A3)-1,DAY(EOMONTH(貼り付け用!$B$2&amp;"1日",0))))</f>
        <v/>
      </c>
      <c r="G4" s="34"/>
      <c r="H4" s="44" t="str">
        <f ca="1">IF(A4&lt;&gt;"",OFFSET('まとめ（登園）'!$B$1,MATCH(CSVフォーム!A4,'まとめ（登園）'!$B:$B,0)-1,MATCH(DAY(F4),'まとめ（登園）'!$2:$2,0)-2),"")</f>
        <v/>
      </c>
      <c r="I4" s="44" t="str">
        <f ca="1">IF(A4&lt;&gt;"",OFFSET('まとめ（降園）'!$B$1,MATCH(CSVフォーム!A4,'まとめ（降園）'!$B:$B,0)-1,MATCH(DAY(F4),'まとめ（降園）'!$2:$2,0)-2),"")</f>
        <v/>
      </c>
    </row>
    <row r="5" spans="1:9" ht="17.399999999999999" customHeight="1" x14ac:dyDescent="0.5">
      <c r="A5" s="33" t="str">
        <f t="array" ref="A5">IFERROR(INDEX('まとめ（登園）'!$B$3:$B$500,INT((ROW(A4)-1)/DAY(EOMONTH(貼り付け用!$B$2&amp;"1日",0)))+1)&amp;"","")</f>
        <v/>
      </c>
      <c r="B5" s="33" t="str">
        <f>IF(A5&lt;&gt;"",VLOOKUP(A5,子どもマスタ!$A$1:$F$301,2,FALSE),"")</f>
        <v/>
      </c>
      <c r="C5" s="34" t="str">
        <f>IF(A5&lt;&gt;"",
TEXT(VALUE(REPLACE(VLOOKUP(A5,子どもマスタ!$A$1:$F$301,5,FALSE),
FIND("(",VLOOKUP(A5,子どもマスタ!$A$1:$F$301,5,FALSE)),
FIND(")",VLOOKUP(A5,子どもマスタ!$A$1:$F$301,5,FALSE))
-FIND("(",VLOOKUP(A5,子どもマスタ!$A$1:$F$301,5,FALSE))+1,"")),"yyyy/mm/dd"),"")</f>
        <v/>
      </c>
      <c r="D5" s="35"/>
      <c r="E5" s="36"/>
      <c r="F5" s="34" t="str">
        <f>IF(A5="","",VALUE(貼り付け用!$B$2&amp;"1日")+MOD(ROW(A4)-1,DAY(EOMONTH(貼り付け用!$B$2&amp;"1日",0))))</f>
        <v/>
      </c>
      <c r="G5" s="34"/>
      <c r="H5" s="44" t="str">
        <f ca="1">IF(A5&lt;&gt;"",OFFSET('まとめ（登園）'!$B$1,MATCH(CSVフォーム!A5,'まとめ（登園）'!$B:$B,0)-1,MATCH(DAY(F5),'まとめ（登園）'!$2:$2,0)-2),"")</f>
        <v/>
      </c>
      <c r="I5" s="44" t="str">
        <f ca="1">IF(A5&lt;&gt;"",OFFSET('まとめ（降園）'!$B$1,MATCH(CSVフォーム!A5,'まとめ（降園）'!$B:$B,0)-1,MATCH(DAY(F5),'まとめ（降園）'!$2:$2,0)-2),"")</f>
        <v/>
      </c>
    </row>
    <row r="6" spans="1:9" ht="17.399999999999999" customHeight="1" x14ac:dyDescent="0.5">
      <c r="A6" s="33" t="str">
        <f t="array" ref="A6">IFERROR(INDEX('まとめ（登園）'!$B$3:$B$500,INT((ROW(A5)-1)/DAY(EOMONTH(貼り付け用!$B$2&amp;"1日",0)))+1)&amp;"","")</f>
        <v/>
      </c>
      <c r="B6" s="33" t="str">
        <f>IF(A6&lt;&gt;"",VLOOKUP(A6,子どもマスタ!$A$1:$F$301,2,FALSE),"")</f>
        <v/>
      </c>
      <c r="C6" s="34" t="str">
        <f>IF(A6&lt;&gt;"",
TEXT(VALUE(REPLACE(VLOOKUP(A6,子どもマスタ!$A$1:$F$301,5,FALSE),
FIND("(",VLOOKUP(A6,子どもマスタ!$A$1:$F$301,5,FALSE)),
FIND(")",VLOOKUP(A6,子どもマスタ!$A$1:$F$301,5,FALSE))
-FIND("(",VLOOKUP(A6,子どもマスタ!$A$1:$F$301,5,FALSE))+1,"")),"yyyy/mm/dd"),"")</f>
        <v/>
      </c>
      <c r="D6" s="35"/>
      <c r="E6" s="36"/>
      <c r="F6" s="34" t="str">
        <f>IF(A6="","",VALUE(貼り付け用!$B$2&amp;"1日")+MOD(ROW(A5)-1,DAY(EOMONTH(貼り付け用!$B$2&amp;"1日",0))))</f>
        <v/>
      </c>
      <c r="G6" s="34"/>
      <c r="H6" s="44" t="str">
        <f ca="1">IF(A6&lt;&gt;"",OFFSET('まとめ（登園）'!$B$1,MATCH(CSVフォーム!A6,'まとめ（登園）'!$B:$B,0)-1,MATCH(DAY(F6),'まとめ（登園）'!$2:$2,0)-2),"")</f>
        <v/>
      </c>
      <c r="I6" s="44" t="str">
        <f ca="1">IF(A6&lt;&gt;"",OFFSET('まとめ（降園）'!$B$1,MATCH(CSVフォーム!A6,'まとめ（降園）'!$B:$B,0)-1,MATCH(DAY(F6),'まとめ（降園）'!$2:$2,0)-2),"")</f>
        <v/>
      </c>
    </row>
    <row r="7" spans="1:9" ht="17.399999999999999" customHeight="1" x14ac:dyDescent="0.5">
      <c r="A7" s="33" t="str">
        <f t="array" ref="A7">IFERROR(INDEX('まとめ（登園）'!$B$3:$B$500,INT((ROW(A6)-1)/DAY(EOMONTH(貼り付け用!$B$2&amp;"1日",0)))+1)&amp;"","")</f>
        <v/>
      </c>
      <c r="B7" s="33" t="str">
        <f>IF(A7&lt;&gt;"",VLOOKUP(A7,子どもマスタ!$A$1:$F$301,2,FALSE),"")</f>
        <v/>
      </c>
      <c r="C7" s="34" t="str">
        <f>IF(A7&lt;&gt;"",
TEXT(VALUE(REPLACE(VLOOKUP(A7,子どもマスタ!$A$1:$F$301,5,FALSE),
FIND("(",VLOOKUP(A7,子どもマスタ!$A$1:$F$301,5,FALSE)),
FIND(")",VLOOKUP(A7,子どもマスタ!$A$1:$F$301,5,FALSE))
-FIND("(",VLOOKUP(A7,子どもマスタ!$A$1:$F$301,5,FALSE))+1,"")),"yyyy/mm/dd"),"")</f>
        <v/>
      </c>
      <c r="D7" s="35"/>
      <c r="E7" s="36"/>
      <c r="F7" s="34" t="str">
        <f>IF(A7="","",VALUE(貼り付け用!$B$2&amp;"1日")+MOD(ROW(A6)-1,DAY(EOMONTH(貼り付け用!$B$2&amp;"1日",0))))</f>
        <v/>
      </c>
      <c r="G7" s="34"/>
      <c r="H7" s="44" t="str">
        <f ca="1">IF(A7&lt;&gt;"",OFFSET('まとめ（登園）'!$B$1,MATCH(CSVフォーム!A7,'まとめ（登園）'!$B:$B,0)-1,MATCH(DAY(F7),'まとめ（登園）'!$2:$2,0)-2),"")</f>
        <v/>
      </c>
      <c r="I7" s="44" t="str">
        <f ca="1">IF(A7&lt;&gt;"",OFFSET('まとめ（降園）'!$B$1,MATCH(CSVフォーム!A7,'まとめ（降園）'!$B:$B,0)-1,MATCH(DAY(F7),'まとめ（降園）'!$2:$2,0)-2),"")</f>
        <v/>
      </c>
    </row>
    <row r="8" spans="1:9" ht="17.399999999999999" customHeight="1" x14ac:dyDescent="0.5">
      <c r="A8" s="33" t="str">
        <f t="array" ref="A8">IFERROR(INDEX('まとめ（登園）'!$B$3:$B$500,INT((ROW(A7)-1)/DAY(EOMONTH(貼り付け用!$B$2&amp;"1日",0)))+1)&amp;"","")</f>
        <v/>
      </c>
      <c r="B8" s="33" t="str">
        <f>IF(A8&lt;&gt;"",VLOOKUP(A8,子どもマスタ!$A$1:$F$301,2,FALSE),"")</f>
        <v/>
      </c>
      <c r="C8" s="34" t="str">
        <f>IF(A8&lt;&gt;"",
TEXT(VALUE(REPLACE(VLOOKUP(A8,子どもマスタ!$A$1:$F$301,5,FALSE),
FIND("(",VLOOKUP(A8,子どもマスタ!$A$1:$F$301,5,FALSE)),
FIND(")",VLOOKUP(A8,子どもマスタ!$A$1:$F$301,5,FALSE))
-FIND("(",VLOOKUP(A8,子どもマスタ!$A$1:$F$301,5,FALSE))+1,"")),"yyyy/mm/dd"),"")</f>
        <v/>
      </c>
      <c r="D8" s="35"/>
      <c r="E8" s="36"/>
      <c r="F8" s="34" t="str">
        <f>IF(A8="","",VALUE(貼り付け用!$B$2&amp;"1日")+MOD(ROW(A7)-1,DAY(EOMONTH(貼り付け用!$B$2&amp;"1日",0))))</f>
        <v/>
      </c>
      <c r="G8" s="34"/>
      <c r="H8" s="44" t="str">
        <f ca="1">IF(A8&lt;&gt;"",OFFSET('まとめ（登園）'!$B$1,MATCH(CSVフォーム!A8,'まとめ（登園）'!$B:$B,0)-1,MATCH(DAY(F8),'まとめ（登園）'!$2:$2,0)-2),"")</f>
        <v/>
      </c>
      <c r="I8" s="44" t="str">
        <f ca="1">IF(A8&lt;&gt;"",OFFSET('まとめ（降園）'!$B$1,MATCH(CSVフォーム!A8,'まとめ（降園）'!$B:$B,0)-1,MATCH(DAY(F8),'まとめ（降園）'!$2:$2,0)-2),"")</f>
        <v/>
      </c>
    </row>
    <row r="9" spans="1:9" ht="17.399999999999999" customHeight="1" x14ac:dyDescent="0.5">
      <c r="A9" s="33" t="str">
        <f t="array" ref="A9">IFERROR(INDEX('まとめ（登園）'!$B$3:$B$500,INT((ROW(A8)-1)/DAY(EOMONTH(貼り付け用!$B$2&amp;"1日",0)))+1)&amp;"","")</f>
        <v/>
      </c>
      <c r="B9" s="33" t="str">
        <f>IF(A9&lt;&gt;"",VLOOKUP(A9,子どもマスタ!$A$1:$F$301,2,FALSE),"")</f>
        <v/>
      </c>
      <c r="C9" s="34" t="str">
        <f>IF(A9&lt;&gt;"",
TEXT(VALUE(REPLACE(VLOOKUP(A9,子どもマスタ!$A$1:$F$301,5,FALSE),
FIND("(",VLOOKUP(A9,子どもマスタ!$A$1:$F$301,5,FALSE)),
FIND(")",VLOOKUP(A9,子どもマスタ!$A$1:$F$301,5,FALSE))
-FIND("(",VLOOKUP(A9,子どもマスタ!$A$1:$F$301,5,FALSE))+1,"")),"yyyy/mm/dd"),"")</f>
        <v/>
      </c>
      <c r="D9" s="35"/>
      <c r="E9" s="36"/>
      <c r="F9" s="34" t="str">
        <f>IF(A9="","",VALUE(貼り付け用!$B$2&amp;"1日")+MOD(ROW(A8)-1,DAY(EOMONTH(貼り付け用!$B$2&amp;"1日",0))))</f>
        <v/>
      </c>
      <c r="G9" s="34"/>
      <c r="H9" s="44" t="str">
        <f ca="1">IF(A9&lt;&gt;"",OFFSET('まとめ（登園）'!$B$1,MATCH(CSVフォーム!A9,'まとめ（登園）'!$B:$B,0)-1,MATCH(DAY(F9),'まとめ（登園）'!$2:$2,0)-2),"")</f>
        <v/>
      </c>
      <c r="I9" s="44" t="str">
        <f ca="1">IF(A9&lt;&gt;"",OFFSET('まとめ（降園）'!$B$1,MATCH(CSVフォーム!A9,'まとめ（降園）'!$B:$B,0)-1,MATCH(DAY(F9),'まとめ（降園）'!$2:$2,0)-2),"")</f>
        <v/>
      </c>
    </row>
    <row r="10" spans="1:9" ht="17.399999999999999" customHeight="1" x14ac:dyDescent="0.5">
      <c r="A10" s="33" t="str">
        <f t="array" ref="A10">IFERROR(INDEX('まとめ（登園）'!$B$3:$B$500,INT((ROW(A9)-1)/DAY(EOMONTH(貼り付け用!$B$2&amp;"1日",0)))+1)&amp;"","")</f>
        <v/>
      </c>
      <c r="B10" s="33" t="str">
        <f>IF(A10&lt;&gt;"",VLOOKUP(A10,子どもマスタ!$A$1:$F$301,2,FALSE),"")</f>
        <v/>
      </c>
      <c r="C10" s="34" t="str">
        <f>IF(A10&lt;&gt;"",
TEXT(VALUE(REPLACE(VLOOKUP(A10,子どもマスタ!$A$1:$F$301,5,FALSE),
FIND("(",VLOOKUP(A10,子どもマスタ!$A$1:$F$301,5,FALSE)),
FIND(")",VLOOKUP(A10,子どもマスタ!$A$1:$F$301,5,FALSE))
-FIND("(",VLOOKUP(A10,子どもマスタ!$A$1:$F$301,5,FALSE))+1,"")),"yyyy/mm/dd"),"")</f>
        <v/>
      </c>
      <c r="D10" s="35"/>
      <c r="E10" s="36"/>
      <c r="F10" s="34" t="str">
        <f>IF(A10="","",VALUE(貼り付け用!$B$2&amp;"1日")+MOD(ROW(A9)-1,DAY(EOMONTH(貼り付け用!$B$2&amp;"1日",0))))</f>
        <v/>
      </c>
      <c r="G10" s="34"/>
      <c r="H10" s="44" t="str">
        <f ca="1">IF(A10&lt;&gt;"",OFFSET('まとめ（登園）'!$B$1,MATCH(CSVフォーム!A10,'まとめ（登園）'!$B:$B,0)-1,MATCH(DAY(F10),'まとめ（登園）'!$2:$2,0)-2),"")</f>
        <v/>
      </c>
      <c r="I10" s="44" t="str">
        <f ca="1">IF(A10&lt;&gt;"",OFFSET('まとめ（降園）'!$B$1,MATCH(CSVフォーム!A10,'まとめ（降園）'!$B:$B,0)-1,MATCH(DAY(F10),'まとめ（降園）'!$2:$2,0)-2),"")</f>
        <v/>
      </c>
    </row>
    <row r="11" spans="1:9" ht="17.399999999999999" customHeight="1" x14ac:dyDescent="0.5">
      <c r="A11" s="33" t="str">
        <f t="array" ref="A11">IFERROR(INDEX('まとめ（登園）'!$B$3:$B$500,INT((ROW(A10)-1)/DAY(EOMONTH(貼り付け用!$B$2&amp;"1日",0)))+1)&amp;"","")</f>
        <v/>
      </c>
      <c r="B11" s="33" t="str">
        <f>IF(A11&lt;&gt;"",VLOOKUP(A11,子どもマスタ!$A$1:$F$301,2,FALSE),"")</f>
        <v/>
      </c>
      <c r="C11" s="34" t="str">
        <f>IF(A11&lt;&gt;"",
TEXT(VALUE(REPLACE(VLOOKUP(A11,子どもマスタ!$A$1:$F$301,5,FALSE),
FIND("(",VLOOKUP(A11,子どもマスタ!$A$1:$F$301,5,FALSE)),
FIND(")",VLOOKUP(A11,子どもマスタ!$A$1:$F$301,5,FALSE))
-FIND("(",VLOOKUP(A11,子どもマスタ!$A$1:$F$301,5,FALSE))+1,"")),"yyyy/mm/dd"),"")</f>
        <v/>
      </c>
      <c r="D11" s="35"/>
      <c r="E11" s="36"/>
      <c r="F11" s="34" t="str">
        <f>IF(A11="","",VALUE(貼り付け用!$B$2&amp;"1日")+MOD(ROW(A10)-1,DAY(EOMONTH(貼り付け用!$B$2&amp;"1日",0))))</f>
        <v/>
      </c>
      <c r="G11" s="34"/>
      <c r="H11" s="44" t="str">
        <f ca="1">IF(A11&lt;&gt;"",OFFSET('まとめ（登園）'!$B$1,MATCH(CSVフォーム!A11,'まとめ（登園）'!$B:$B,0)-1,MATCH(DAY(F11),'まとめ（登園）'!$2:$2,0)-2),"")</f>
        <v/>
      </c>
      <c r="I11" s="44" t="str">
        <f ca="1">IF(A11&lt;&gt;"",OFFSET('まとめ（降園）'!$B$1,MATCH(CSVフォーム!A11,'まとめ（降園）'!$B:$B,0)-1,MATCH(DAY(F11),'まとめ（降園）'!$2:$2,0)-2),"")</f>
        <v/>
      </c>
    </row>
    <row r="12" spans="1:9" ht="17.399999999999999" customHeight="1" x14ac:dyDescent="0.5">
      <c r="A12" s="33" t="str">
        <f t="array" ref="A12">IFERROR(INDEX('まとめ（登園）'!$B$3:$B$500,INT((ROW(A11)-1)/DAY(EOMONTH(貼り付け用!$B$2&amp;"1日",0)))+1)&amp;"","")</f>
        <v/>
      </c>
      <c r="B12" s="33" t="str">
        <f>IF(A12&lt;&gt;"",VLOOKUP(A12,子どもマスタ!$A$1:$F$301,2,FALSE),"")</f>
        <v/>
      </c>
      <c r="C12" s="34" t="str">
        <f>IF(A12&lt;&gt;"",
TEXT(VALUE(REPLACE(VLOOKUP(A12,子どもマスタ!$A$1:$F$301,5,FALSE),
FIND("(",VLOOKUP(A12,子どもマスタ!$A$1:$F$301,5,FALSE)),
FIND(")",VLOOKUP(A12,子どもマスタ!$A$1:$F$301,5,FALSE))
-FIND("(",VLOOKUP(A12,子どもマスタ!$A$1:$F$301,5,FALSE))+1,"")),"yyyy/mm/dd"),"")</f>
        <v/>
      </c>
      <c r="D12" s="35"/>
      <c r="E12" s="36"/>
      <c r="F12" s="34" t="str">
        <f>IF(A12="","",VALUE(貼り付け用!$B$2&amp;"1日")+MOD(ROW(A11)-1,DAY(EOMONTH(貼り付け用!$B$2&amp;"1日",0))))</f>
        <v/>
      </c>
      <c r="G12" s="34"/>
      <c r="H12" s="44" t="str">
        <f ca="1">IF(A12&lt;&gt;"",OFFSET('まとめ（登園）'!$B$1,MATCH(CSVフォーム!A12,'まとめ（登園）'!$B:$B,0)-1,MATCH(DAY(F12),'まとめ（登園）'!$2:$2,0)-2),"")</f>
        <v/>
      </c>
      <c r="I12" s="44" t="str">
        <f ca="1">IF(A12&lt;&gt;"",OFFSET('まとめ（降園）'!$B$1,MATCH(CSVフォーム!A12,'まとめ（降園）'!$B:$B,0)-1,MATCH(DAY(F12),'まとめ（降園）'!$2:$2,0)-2),"")</f>
        <v/>
      </c>
    </row>
    <row r="13" spans="1:9" ht="17.399999999999999" customHeight="1" x14ac:dyDescent="0.5">
      <c r="A13" s="33" t="str">
        <f t="array" ref="A13">IFERROR(INDEX('まとめ（登園）'!$B$3:$B$500,INT((ROW(A12)-1)/DAY(EOMONTH(貼り付け用!$B$2&amp;"1日",0)))+1)&amp;"","")</f>
        <v/>
      </c>
      <c r="B13" s="33" t="str">
        <f>IF(A13&lt;&gt;"",VLOOKUP(A13,子どもマスタ!$A$1:$F$301,2,FALSE),"")</f>
        <v/>
      </c>
      <c r="C13" s="34" t="str">
        <f>IF(A13&lt;&gt;"",
TEXT(VALUE(REPLACE(VLOOKUP(A13,子どもマスタ!$A$1:$F$301,5,FALSE),
FIND("(",VLOOKUP(A13,子どもマスタ!$A$1:$F$301,5,FALSE)),
FIND(")",VLOOKUP(A13,子どもマスタ!$A$1:$F$301,5,FALSE))
-FIND("(",VLOOKUP(A13,子どもマスタ!$A$1:$F$301,5,FALSE))+1,"")),"yyyy/mm/dd"),"")</f>
        <v/>
      </c>
      <c r="D13" s="35"/>
      <c r="E13" s="36"/>
      <c r="F13" s="34" t="str">
        <f>IF(A13="","",VALUE(貼り付け用!$B$2&amp;"1日")+MOD(ROW(A12)-1,DAY(EOMONTH(貼り付け用!$B$2&amp;"1日",0))))</f>
        <v/>
      </c>
      <c r="G13" s="34"/>
      <c r="H13" s="44" t="str">
        <f ca="1">IF(A13&lt;&gt;"",OFFSET('まとめ（登園）'!$B$1,MATCH(CSVフォーム!A13,'まとめ（登園）'!$B:$B,0)-1,MATCH(DAY(F13),'まとめ（登園）'!$2:$2,0)-2),"")</f>
        <v/>
      </c>
      <c r="I13" s="44" t="str">
        <f ca="1">IF(A13&lt;&gt;"",OFFSET('まとめ（降園）'!$B$1,MATCH(CSVフォーム!A13,'まとめ（降園）'!$B:$B,0)-1,MATCH(DAY(F13),'まとめ（降園）'!$2:$2,0)-2),"")</f>
        <v/>
      </c>
    </row>
    <row r="14" spans="1:9" ht="17.399999999999999" customHeight="1" x14ac:dyDescent="0.5">
      <c r="A14" s="33" t="str">
        <f t="array" ref="A14">IFERROR(INDEX('まとめ（登園）'!$B$3:$B$500,INT((ROW(A13)-1)/DAY(EOMONTH(貼り付け用!$B$2&amp;"1日",0)))+1)&amp;"","")</f>
        <v/>
      </c>
      <c r="B14" s="33" t="str">
        <f>IF(A14&lt;&gt;"",VLOOKUP(A14,子どもマスタ!$A$1:$F$301,2,FALSE),"")</f>
        <v/>
      </c>
      <c r="C14" s="34" t="str">
        <f>IF(A14&lt;&gt;"",
TEXT(VALUE(REPLACE(VLOOKUP(A14,子どもマスタ!$A$1:$F$301,5,FALSE),
FIND("(",VLOOKUP(A14,子どもマスタ!$A$1:$F$301,5,FALSE)),
FIND(")",VLOOKUP(A14,子どもマスタ!$A$1:$F$301,5,FALSE))
-FIND("(",VLOOKUP(A14,子どもマスタ!$A$1:$F$301,5,FALSE))+1,"")),"yyyy/mm/dd"),"")</f>
        <v/>
      </c>
      <c r="D14" s="35"/>
      <c r="E14" s="36"/>
      <c r="F14" s="34" t="str">
        <f>IF(A14="","",VALUE(貼り付け用!$B$2&amp;"1日")+MOD(ROW(A13)-1,DAY(EOMONTH(貼り付け用!$B$2&amp;"1日",0))))</f>
        <v/>
      </c>
      <c r="G14" s="34"/>
      <c r="H14" s="44" t="str">
        <f ca="1">IF(A14&lt;&gt;"",OFFSET('まとめ（登園）'!$B$1,MATCH(CSVフォーム!A14,'まとめ（登園）'!$B:$B,0)-1,MATCH(DAY(F14),'まとめ（登園）'!$2:$2,0)-2),"")</f>
        <v/>
      </c>
      <c r="I14" s="44" t="str">
        <f ca="1">IF(A14&lt;&gt;"",OFFSET('まとめ（降園）'!$B$1,MATCH(CSVフォーム!A14,'まとめ（降園）'!$B:$B,0)-1,MATCH(DAY(F14),'まとめ（降園）'!$2:$2,0)-2),"")</f>
        <v/>
      </c>
    </row>
    <row r="15" spans="1:9" ht="17.399999999999999" customHeight="1" x14ac:dyDescent="0.5">
      <c r="A15" s="33" t="str">
        <f t="array" ref="A15">IFERROR(INDEX('まとめ（登園）'!$B$3:$B$500,INT((ROW(A14)-1)/DAY(EOMONTH(貼り付け用!$B$2&amp;"1日",0)))+1)&amp;"","")</f>
        <v/>
      </c>
      <c r="B15" s="33" t="str">
        <f>IF(A15&lt;&gt;"",VLOOKUP(A15,子どもマスタ!$A$1:$F$301,2,FALSE),"")</f>
        <v/>
      </c>
      <c r="C15" s="34" t="str">
        <f>IF(A15&lt;&gt;"",
TEXT(VALUE(REPLACE(VLOOKUP(A15,子どもマスタ!$A$1:$F$301,5,FALSE),
FIND("(",VLOOKUP(A15,子どもマスタ!$A$1:$F$301,5,FALSE)),
FIND(")",VLOOKUP(A15,子どもマスタ!$A$1:$F$301,5,FALSE))
-FIND("(",VLOOKUP(A15,子どもマスタ!$A$1:$F$301,5,FALSE))+1,"")),"yyyy/mm/dd"),"")</f>
        <v/>
      </c>
      <c r="D15" s="35"/>
      <c r="E15" s="36"/>
      <c r="F15" s="34" t="str">
        <f>IF(A15="","",VALUE(貼り付け用!$B$2&amp;"1日")+MOD(ROW(A14)-1,DAY(EOMONTH(貼り付け用!$B$2&amp;"1日",0))))</f>
        <v/>
      </c>
      <c r="G15" s="34"/>
      <c r="H15" s="44" t="str">
        <f ca="1">IF(A15&lt;&gt;"",OFFSET('まとめ（登園）'!$B$1,MATCH(CSVフォーム!A15,'まとめ（登園）'!$B:$B,0)-1,MATCH(DAY(F15),'まとめ（登園）'!$2:$2,0)-2),"")</f>
        <v/>
      </c>
      <c r="I15" s="44" t="str">
        <f ca="1">IF(A15&lt;&gt;"",OFFSET('まとめ（降園）'!$B$1,MATCH(CSVフォーム!A15,'まとめ（降園）'!$B:$B,0)-1,MATCH(DAY(F15),'まとめ（降園）'!$2:$2,0)-2),"")</f>
        <v/>
      </c>
    </row>
    <row r="16" spans="1:9" ht="17.399999999999999" customHeight="1" x14ac:dyDescent="0.5">
      <c r="A16" s="33" t="str">
        <f t="array" ref="A16">IFERROR(INDEX('まとめ（登園）'!$B$3:$B$500,INT((ROW(A15)-1)/DAY(EOMONTH(貼り付け用!$B$2&amp;"1日",0)))+1)&amp;"","")</f>
        <v/>
      </c>
      <c r="B16" s="33" t="str">
        <f>IF(A16&lt;&gt;"",VLOOKUP(A16,子どもマスタ!$A$1:$F$301,2,FALSE),"")</f>
        <v/>
      </c>
      <c r="C16" s="34" t="str">
        <f>IF(A16&lt;&gt;"",
TEXT(VALUE(REPLACE(VLOOKUP(A16,子どもマスタ!$A$1:$F$301,5,FALSE),
FIND("(",VLOOKUP(A16,子どもマスタ!$A$1:$F$301,5,FALSE)),
FIND(")",VLOOKUP(A16,子どもマスタ!$A$1:$F$301,5,FALSE))
-FIND("(",VLOOKUP(A16,子どもマスタ!$A$1:$F$301,5,FALSE))+1,"")),"yyyy/mm/dd"),"")</f>
        <v/>
      </c>
      <c r="D16" s="35"/>
      <c r="E16" s="36"/>
      <c r="F16" s="34" t="str">
        <f>IF(A16="","",VALUE(貼り付け用!$B$2&amp;"1日")+MOD(ROW(A15)-1,DAY(EOMONTH(貼り付け用!$B$2&amp;"1日",0))))</f>
        <v/>
      </c>
      <c r="G16" s="34"/>
      <c r="H16" s="44" t="str">
        <f ca="1">IF(A16&lt;&gt;"",OFFSET('まとめ（登園）'!$B$1,MATCH(CSVフォーム!A16,'まとめ（登園）'!$B:$B,0)-1,MATCH(DAY(F16),'まとめ（登園）'!$2:$2,0)-2),"")</f>
        <v/>
      </c>
      <c r="I16" s="44" t="str">
        <f ca="1">IF(A16&lt;&gt;"",OFFSET('まとめ（降園）'!$B$1,MATCH(CSVフォーム!A16,'まとめ（降園）'!$B:$B,0)-1,MATCH(DAY(F16),'まとめ（降園）'!$2:$2,0)-2),"")</f>
        <v/>
      </c>
    </row>
    <row r="17" spans="1:9" ht="17.399999999999999" customHeight="1" x14ac:dyDescent="0.5">
      <c r="A17" s="33" t="str">
        <f t="array" ref="A17">IFERROR(INDEX('まとめ（登園）'!$B$3:$B$500,INT((ROW(A16)-1)/DAY(EOMONTH(貼り付け用!$B$2&amp;"1日",0)))+1)&amp;"","")</f>
        <v/>
      </c>
      <c r="B17" s="33" t="str">
        <f>IF(A17&lt;&gt;"",VLOOKUP(A17,子どもマスタ!$A$1:$F$301,2,FALSE),"")</f>
        <v/>
      </c>
      <c r="C17" s="34" t="str">
        <f>IF(A17&lt;&gt;"",
TEXT(VALUE(REPLACE(VLOOKUP(A17,子どもマスタ!$A$1:$F$301,5,FALSE),
FIND("(",VLOOKUP(A17,子どもマスタ!$A$1:$F$301,5,FALSE)),
FIND(")",VLOOKUP(A17,子どもマスタ!$A$1:$F$301,5,FALSE))
-FIND("(",VLOOKUP(A17,子どもマスタ!$A$1:$F$301,5,FALSE))+1,"")),"yyyy/mm/dd"),"")</f>
        <v/>
      </c>
      <c r="D17" s="35"/>
      <c r="E17" s="36"/>
      <c r="F17" s="34" t="str">
        <f>IF(A17="","",VALUE(貼り付け用!$B$2&amp;"1日")+MOD(ROW(A16)-1,DAY(EOMONTH(貼り付け用!$B$2&amp;"1日",0))))</f>
        <v/>
      </c>
      <c r="G17" s="34"/>
      <c r="H17" s="44" t="str">
        <f ca="1">IF(A17&lt;&gt;"",OFFSET('まとめ（登園）'!$B$1,MATCH(CSVフォーム!A17,'まとめ（登園）'!$B:$B,0)-1,MATCH(DAY(F17),'まとめ（登園）'!$2:$2,0)-2),"")</f>
        <v/>
      </c>
      <c r="I17" s="44" t="str">
        <f ca="1">IF(A17&lt;&gt;"",OFFSET('まとめ（降園）'!$B$1,MATCH(CSVフォーム!A17,'まとめ（降園）'!$B:$B,0)-1,MATCH(DAY(F17),'まとめ（降園）'!$2:$2,0)-2),"")</f>
        <v/>
      </c>
    </row>
    <row r="18" spans="1:9" ht="17.399999999999999" customHeight="1" x14ac:dyDescent="0.5">
      <c r="A18" s="33" t="str">
        <f t="array" ref="A18">IFERROR(INDEX('まとめ（登園）'!$B$3:$B$500,INT((ROW(A17)-1)/DAY(EOMONTH(貼り付け用!$B$2&amp;"1日",0)))+1)&amp;"","")</f>
        <v/>
      </c>
      <c r="B18" s="33" t="str">
        <f>IF(A18&lt;&gt;"",VLOOKUP(A18,子どもマスタ!$A$1:$F$301,2,FALSE),"")</f>
        <v/>
      </c>
      <c r="C18" s="34" t="str">
        <f>IF(A18&lt;&gt;"",
TEXT(VALUE(REPLACE(VLOOKUP(A18,子どもマスタ!$A$1:$F$301,5,FALSE),
FIND("(",VLOOKUP(A18,子どもマスタ!$A$1:$F$301,5,FALSE)),
FIND(")",VLOOKUP(A18,子どもマスタ!$A$1:$F$301,5,FALSE))
-FIND("(",VLOOKUP(A18,子どもマスタ!$A$1:$F$301,5,FALSE))+1,"")),"yyyy/mm/dd"),"")</f>
        <v/>
      </c>
      <c r="D18" s="35"/>
      <c r="E18" s="36"/>
      <c r="F18" s="34" t="str">
        <f>IF(A18="","",VALUE(貼り付け用!$B$2&amp;"1日")+MOD(ROW(A17)-1,DAY(EOMONTH(貼り付け用!$B$2&amp;"1日",0))))</f>
        <v/>
      </c>
      <c r="G18" s="34"/>
      <c r="H18" s="44" t="str">
        <f ca="1">IF(A18&lt;&gt;"",OFFSET('まとめ（登園）'!$B$1,MATCH(CSVフォーム!A18,'まとめ（登園）'!$B:$B,0)-1,MATCH(DAY(F18),'まとめ（登園）'!$2:$2,0)-2),"")</f>
        <v/>
      </c>
      <c r="I18" s="44" t="str">
        <f ca="1">IF(A18&lt;&gt;"",OFFSET('まとめ（降園）'!$B$1,MATCH(CSVフォーム!A18,'まとめ（降園）'!$B:$B,0)-1,MATCH(DAY(F18),'まとめ（降園）'!$2:$2,0)-2),"")</f>
        <v/>
      </c>
    </row>
    <row r="19" spans="1:9" ht="17.399999999999999" customHeight="1" x14ac:dyDescent="0.5">
      <c r="A19" s="33" t="str">
        <f t="array" ref="A19">IFERROR(INDEX('まとめ（登園）'!$B$3:$B$500,INT((ROW(A18)-1)/DAY(EOMONTH(貼り付け用!$B$2&amp;"1日",0)))+1)&amp;"","")</f>
        <v/>
      </c>
      <c r="B19" s="33" t="str">
        <f>IF(A19&lt;&gt;"",VLOOKUP(A19,子どもマスタ!$A$1:$F$301,2,FALSE),"")</f>
        <v/>
      </c>
      <c r="C19" s="34" t="str">
        <f>IF(A19&lt;&gt;"",
TEXT(VALUE(REPLACE(VLOOKUP(A19,子どもマスタ!$A$1:$F$301,5,FALSE),
FIND("(",VLOOKUP(A19,子どもマスタ!$A$1:$F$301,5,FALSE)),
FIND(")",VLOOKUP(A19,子どもマスタ!$A$1:$F$301,5,FALSE))
-FIND("(",VLOOKUP(A19,子どもマスタ!$A$1:$F$301,5,FALSE))+1,"")),"yyyy/mm/dd"),"")</f>
        <v/>
      </c>
      <c r="D19" s="35"/>
      <c r="E19" s="36"/>
      <c r="F19" s="34" t="str">
        <f>IF(A19="","",VALUE(貼り付け用!$B$2&amp;"1日")+MOD(ROW(A18)-1,DAY(EOMONTH(貼り付け用!$B$2&amp;"1日",0))))</f>
        <v/>
      </c>
      <c r="G19" s="34"/>
      <c r="H19" s="44" t="str">
        <f ca="1">IF(A19&lt;&gt;"",OFFSET('まとめ（登園）'!$B$1,MATCH(CSVフォーム!A19,'まとめ（登園）'!$B:$B,0)-1,MATCH(DAY(F19),'まとめ（登園）'!$2:$2,0)-2),"")</f>
        <v/>
      </c>
      <c r="I19" s="44" t="str">
        <f ca="1">IF(A19&lt;&gt;"",OFFSET('まとめ（降園）'!$B$1,MATCH(CSVフォーム!A19,'まとめ（降園）'!$B:$B,0)-1,MATCH(DAY(F19),'まとめ（降園）'!$2:$2,0)-2),"")</f>
        <v/>
      </c>
    </row>
    <row r="20" spans="1:9" ht="17.399999999999999" customHeight="1" x14ac:dyDescent="0.5">
      <c r="A20" s="33" t="str">
        <f t="array" ref="A20">IFERROR(INDEX('まとめ（登園）'!$B$3:$B$500,INT((ROW(A19)-1)/DAY(EOMONTH(貼り付け用!$B$2&amp;"1日",0)))+1)&amp;"","")</f>
        <v/>
      </c>
      <c r="B20" s="33" t="str">
        <f>IF(A20&lt;&gt;"",VLOOKUP(A20,子どもマスタ!$A$1:$F$301,2,FALSE),"")</f>
        <v/>
      </c>
      <c r="C20" s="34" t="str">
        <f>IF(A20&lt;&gt;"",
TEXT(VALUE(REPLACE(VLOOKUP(A20,子どもマスタ!$A$1:$F$301,5,FALSE),
FIND("(",VLOOKUP(A20,子どもマスタ!$A$1:$F$301,5,FALSE)),
FIND(")",VLOOKUP(A20,子どもマスタ!$A$1:$F$301,5,FALSE))
-FIND("(",VLOOKUP(A20,子どもマスタ!$A$1:$F$301,5,FALSE))+1,"")),"yyyy/mm/dd"),"")</f>
        <v/>
      </c>
      <c r="D20" s="35"/>
      <c r="E20" s="36"/>
      <c r="F20" s="34" t="str">
        <f>IF(A20="","",VALUE(貼り付け用!$B$2&amp;"1日")+MOD(ROW(A19)-1,DAY(EOMONTH(貼り付け用!$B$2&amp;"1日",0))))</f>
        <v/>
      </c>
      <c r="G20" s="34"/>
      <c r="H20" s="44" t="str">
        <f ca="1">IF(A20&lt;&gt;"",OFFSET('まとめ（登園）'!$B$1,MATCH(CSVフォーム!A20,'まとめ（登園）'!$B:$B,0)-1,MATCH(DAY(F20),'まとめ（登園）'!$2:$2,0)-2),"")</f>
        <v/>
      </c>
      <c r="I20" s="44" t="str">
        <f ca="1">IF(A20&lt;&gt;"",OFFSET('まとめ（降園）'!$B$1,MATCH(CSVフォーム!A20,'まとめ（降園）'!$B:$B,0)-1,MATCH(DAY(F20),'まとめ（降園）'!$2:$2,0)-2),"")</f>
        <v/>
      </c>
    </row>
    <row r="21" spans="1:9" ht="17.399999999999999" customHeight="1" x14ac:dyDescent="0.5">
      <c r="A21" s="33" t="str">
        <f t="array" ref="A21">IFERROR(INDEX('まとめ（登園）'!$B$3:$B$500,INT((ROW(A20)-1)/DAY(EOMONTH(貼り付け用!$B$2&amp;"1日",0)))+1)&amp;"","")</f>
        <v/>
      </c>
      <c r="B21" s="33" t="str">
        <f>IF(A21&lt;&gt;"",VLOOKUP(A21,子どもマスタ!$A$1:$F$301,2,FALSE),"")</f>
        <v/>
      </c>
      <c r="C21" s="34" t="str">
        <f>IF(A21&lt;&gt;"",
TEXT(VALUE(REPLACE(VLOOKUP(A21,子どもマスタ!$A$1:$F$301,5,FALSE),
FIND("(",VLOOKUP(A21,子どもマスタ!$A$1:$F$301,5,FALSE)),
FIND(")",VLOOKUP(A21,子どもマスタ!$A$1:$F$301,5,FALSE))
-FIND("(",VLOOKUP(A21,子どもマスタ!$A$1:$F$301,5,FALSE))+1,"")),"yyyy/mm/dd"),"")</f>
        <v/>
      </c>
      <c r="D21" s="35"/>
      <c r="E21" s="36"/>
      <c r="F21" s="34" t="str">
        <f>IF(A21="","",VALUE(貼り付け用!$B$2&amp;"1日")+MOD(ROW(A20)-1,DAY(EOMONTH(貼り付け用!$B$2&amp;"1日",0))))</f>
        <v/>
      </c>
      <c r="G21" s="34"/>
      <c r="H21" s="44" t="str">
        <f ca="1">IF(A21&lt;&gt;"",OFFSET('まとめ（登園）'!$B$1,MATCH(CSVフォーム!A21,'まとめ（登園）'!$B:$B,0)-1,MATCH(DAY(F21),'まとめ（登園）'!$2:$2,0)-2),"")</f>
        <v/>
      </c>
      <c r="I21" s="44" t="str">
        <f ca="1">IF(A21&lt;&gt;"",OFFSET('まとめ（降園）'!$B$1,MATCH(CSVフォーム!A21,'まとめ（降園）'!$B:$B,0)-1,MATCH(DAY(F21),'まとめ（降園）'!$2:$2,0)-2),"")</f>
        <v/>
      </c>
    </row>
    <row r="22" spans="1:9" ht="17.399999999999999" customHeight="1" x14ac:dyDescent="0.5">
      <c r="A22" s="33" t="str">
        <f t="array" ref="A22">IFERROR(INDEX('まとめ（登園）'!$B$3:$B$500,INT((ROW(A21)-1)/DAY(EOMONTH(貼り付け用!$B$2&amp;"1日",0)))+1)&amp;"","")</f>
        <v/>
      </c>
      <c r="B22" s="33" t="str">
        <f>IF(A22&lt;&gt;"",VLOOKUP(A22,子どもマスタ!$A$1:$F$301,2,FALSE),"")</f>
        <v/>
      </c>
      <c r="C22" s="34" t="str">
        <f>IF(A22&lt;&gt;"",
TEXT(VALUE(REPLACE(VLOOKUP(A22,子どもマスタ!$A$1:$F$301,5,FALSE),
FIND("(",VLOOKUP(A22,子どもマスタ!$A$1:$F$301,5,FALSE)),
FIND(")",VLOOKUP(A22,子どもマスタ!$A$1:$F$301,5,FALSE))
-FIND("(",VLOOKUP(A22,子どもマスタ!$A$1:$F$301,5,FALSE))+1,"")),"yyyy/mm/dd"),"")</f>
        <v/>
      </c>
      <c r="D22" s="35"/>
      <c r="E22" s="36"/>
      <c r="F22" s="34" t="str">
        <f>IF(A22="","",VALUE(貼り付け用!$B$2&amp;"1日")+MOD(ROW(A21)-1,DAY(EOMONTH(貼り付け用!$B$2&amp;"1日",0))))</f>
        <v/>
      </c>
      <c r="G22" s="34"/>
      <c r="H22" s="44" t="str">
        <f ca="1">IF(A22&lt;&gt;"",OFFSET('まとめ（登園）'!$B$1,MATCH(CSVフォーム!A22,'まとめ（登園）'!$B:$B,0)-1,MATCH(DAY(F22),'まとめ（登園）'!$2:$2,0)-2),"")</f>
        <v/>
      </c>
      <c r="I22" s="44" t="str">
        <f ca="1">IF(A22&lt;&gt;"",OFFSET('まとめ（降園）'!$B$1,MATCH(CSVフォーム!A22,'まとめ（降園）'!$B:$B,0)-1,MATCH(DAY(F22),'まとめ（降園）'!$2:$2,0)-2),"")</f>
        <v/>
      </c>
    </row>
    <row r="23" spans="1:9" ht="17.399999999999999" customHeight="1" x14ac:dyDescent="0.5">
      <c r="A23" s="33" t="str">
        <f t="array" ref="A23">IFERROR(INDEX('まとめ（登園）'!$B$3:$B$500,INT((ROW(A22)-1)/DAY(EOMONTH(貼り付け用!$B$2&amp;"1日",0)))+1)&amp;"","")</f>
        <v/>
      </c>
      <c r="B23" s="33" t="str">
        <f>IF(A23&lt;&gt;"",VLOOKUP(A23,子どもマスタ!$A$1:$F$301,2,FALSE),"")</f>
        <v/>
      </c>
      <c r="C23" s="34" t="str">
        <f>IF(A23&lt;&gt;"",
TEXT(VALUE(REPLACE(VLOOKUP(A23,子どもマスタ!$A$1:$F$301,5,FALSE),
FIND("(",VLOOKUP(A23,子どもマスタ!$A$1:$F$301,5,FALSE)),
FIND(")",VLOOKUP(A23,子どもマスタ!$A$1:$F$301,5,FALSE))
-FIND("(",VLOOKUP(A23,子どもマスタ!$A$1:$F$301,5,FALSE))+1,"")),"yyyy/mm/dd"),"")</f>
        <v/>
      </c>
      <c r="D23" s="35"/>
      <c r="E23" s="36"/>
      <c r="F23" s="34" t="str">
        <f>IF(A23="","",VALUE(貼り付け用!$B$2&amp;"1日")+MOD(ROW(A22)-1,DAY(EOMONTH(貼り付け用!$B$2&amp;"1日",0))))</f>
        <v/>
      </c>
      <c r="G23" s="34"/>
      <c r="H23" s="44" t="str">
        <f ca="1">IF(A23&lt;&gt;"",OFFSET('まとめ（登園）'!$B$1,MATCH(CSVフォーム!A23,'まとめ（登園）'!$B:$B,0)-1,MATCH(DAY(F23),'まとめ（登園）'!$2:$2,0)-2),"")</f>
        <v/>
      </c>
      <c r="I23" s="44" t="str">
        <f ca="1">IF(A23&lt;&gt;"",OFFSET('まとめ（降園）'!$B$1,MATCH(CSVフォーム!A23,'まとめ（降園）'!$B:$B,0)-1,MATCH(DAY(F23),'まとめ（降園）'!$2:$2,0)-2),"")</f>
        <v/>
      </c>
    </row>
    <row r="24" spans="1:9" ht="17.399999999999999" customHeight="1" x14ac:dyDescent="0.5">
      <c r="A24" s="33" t="str">
        <f t="array" ref="A24">IFERROR(INDEX('まとめ（登園）'!$B$3:$B$500,INT((ROW(A23)-1)/DAY(EOMONTH(貼り付け用!$B$2&amp;"1日",0)))+1)&amp;"","")</f>
        <v/>
      </c>
      <c r="B24" s="33" t="str">
        <f>IF(A24&lt;&gt;"",VLOOKUP(A24,子どもマスタ!$A$1:$F$301,2,FALSE),"")</f>
        <v/>
      </c>
      <c r="C24" s="34" t="str">
        <f>IF(A24&lt;&gt;"",
TEXT(VALUE(REPLACE(VLOOKUP(A24,子どもマスタ!$A$1:$F$301,5,FALSE),
FIND("(",VLOOKUP(A24,子どもマスタ!$A$1:$F$301,5,FALSE)),
FIND(")",VLOOKUP(A24,子どもマスタ!$A$1:$F$301,5,FALSE))
-FIND("(",VLOOKUP(A24,子どもマスタ!$A$1:$F$301,5,FALSE))+1,"")),"yyyy/mm/dd"),"")</f>
        <v/>
      </c>
      <c r="D24" s="35"/>
      <c r="E24" s="36"/>
      <c r="F24" s="34" t="str">
        <f>IF(A24="","",VALUE(貼り付け用!$B$2&amp;"1日")+MOD(ROW(A23)-1,DAY(EOMONTH(貼り付け用!$B$2&amp;"1日",0))))</f>
        <v/>
      </c>
      <c r="G24" s="34"/>
      <c r="H24" s="44" t="str">
        <f ca="1">IF(A24&lt;&gt;"",OFFSET('まとめ（登園）'!$B$1,MATCH(CSVフォーム!A24,'まとめ（登園）'!$B:$B,0)-1,MATCH(DAY(F24),'まとめ（登園）'!$2:$2,0)-2),"")</f>
        <v/>
      </c>
      <c r="I24" s="44" t="str">
        <f ca="1">IF(A24&lt;&gt;"",OFFSET('まとめ（降園）'!$B$1,MATCH(CSVフォーム!A24,'まとめ（降園）'!$B:$B,0)-1,MATCH(DAY(F24),'まとめ（降園）'!$2:$2,0)-2),"")</f>
        <v/>
      </c>
    </row>
    <row r="25" spans="1:9" ht="17.399999999999999" customHeight="1" x14ac:dyDescent="0.5">
      <c r="A25" s="33" t="str">
        <f t="array" ref="A25">IFERROR(INDEX('まとめ（登園）'!$B$3:$B$500,INT((ROW(A24)-1)/DAY(EOMONTH(貼り付け用!$B$2&amp;"1日",0)))+1)&amp;"","")</f>
        <v/>
      </c>
      <c r="B25" s="33" t="str">
        <f>IF(A25&lt;&gt;"",VLOOKUP(A25,子どもマスタ!$A$1:$F$301,2,FALSE),"")</f>
        <v/>
      </c>
      <c r="C25" s="34" t="str">
        <f>IF(A25&lt;&gt;"",
TEXT(VALUE(REPLACE(VLOOKUP(A25,子どもマスタ!$A$1:$F$301,5,FALSE),
FIND("(",VLOOKUP(A25,子どもマスタ!$A$1:$F$301,5,FALSE)),
FIND(")",VLOOKUP(A25,子どもマスタ!$A$1:$F$301,5,FALSE))
-FIND("(",VLOOKUP(A25,子どもマスタ!$A$1:$F$301,5,FALSE))+1,"")),"yyyy/mm/dd"),"")</f>
        <v/>
      </c>
      <c r="D25" s="35"/>
      <c r="E25" s="36"/>
      <c r="F25" s="34" t="str">
        <f>IF(A25="","",VALUE(貼り付け用!$B$2&amp;"1日")+MOD(ROW(A24)-1,DAY(EOMONTH(貼り付け用!$B$2&amp;"1日",0))))</f>
        <v/>
      </c>
      <c r="G25" s="34"/>
      <c r="H25" s="44" t="str">
        <f ca="1">IF(A25&lt;&gt;"",OFFSET('まとめ（登園）'!$B$1,MATCH(CSVフォーム!A25,'まとめ（登園）'!$B:$B,0)-1,MATCH(DAY(F25),'まとめ（登園）'!$2:$2,0)-2),"")</f>
        <v/>
      </c>
      <c r="I25" s="44" t="str">
        <f ca="1">IF(A25&lt;&gt;"",OFFSET('まとめ（降園）'!$B$1,MATCH(CSVフォーム!A25,'まとめ（降園）'!$B:$B,0)-1,MATCH(DAY(F25),'まとめ（降園）'!$2:$2,0)-2),"")</f>
        <v/>
      </c>
    </row>
    <row r="26" spans="1:9" ht="17.399999999999999" customHeight="1" x14ac:dyDescent="0.5">
      <c r="A26" s="33" t="str">
        <f t="array" ref="A26">IFERROR(INDEX('まとめ（登園）'!$B$3:$B$500,INT((ROW(A25)-1)/DAY(EOMONTH(貼り付け用!$B$2&amp;"1日",0)))+1)&amp;"","")</f>
        <v/>
      </c>
      <c r="B26" s="33" t="str">
        <f>IF(A26&lt;&gt;"",VLOOKUP(A26,子どもマスタ!$A$1:$F$301,2,FALSE),"")</f>
        <v/>
      </c>
      <c r="C26" s="34" t="str">
        <f>IF(A26&lt;&gt;"",
TEXT(VALUE(REPLACE(VLOOKUP(A26,子どもマスタ!$A$1:$F$301,5,FALSE),
FIND("(",VLOOKUP(A26,子どもマスタ!$A$1:$F$301,5,FALSE)),
FIND(")",VLOOKUP(A26,子どもマスタ!$A$1:$F$301,5,FALSE))
-FIND("(",VLOOKUP(A26,子どもマスタ!$A$1:$F$301,5,FALSE))+1,"")),"yyyy/mm/dd"),"")</f>
        <v/>
      </c>
      <c r="D26" s="35"/>
      <c r="E26" s="36"/>
      <c r="F26" s="34" t="str">
        <f>IF(A26="","",VALUE(貼り付け用!$B$2&amp;"1日")+MOD(ROW(A25)-1,DAY(EOMONTH(貼り付け用!$B$2&amp;"1日",0))))</f>
        <v/>
      </c>
      <c r="G26" s="34"/>
      <c r="H26" s="44" t="str">
        <f ca="1">IF(A26&lt;&gt;"",OFFSET('まとめ（登園）'!$B$1,MATCH(CSVフォーム!A26,'まとめ（登園）'!$B:$B,0)-1,MATCH(DAY(F26),'まとめ（登園）'!$2:$2,0)-2),"")</f>
        <v/>
      </c>
      <c r="I26" s="44" t="str">
        <f ca="1">IF(A26&lt;&gt;"",OFFSET('まとめ（降園）'!$B$1,MATCH(CSVフォーム!A26,'まとめ（降園）'!$B:$B,0)-1,MATCH(DAY(F26),'まとめ（降園）'!$2:$2,0)-2),"")</f>
        <v/>
      </c>
    </row>
    <row r="27" spans="1:9" ht="17.399999999999999" customHeight="1" x14ac:dyDescent="0.5">
      <c r="A27" s="33" t="str">
        <f t="array" ref="A27">IFERROR(INDEX('まとめ（登園）'!$B$3:$B$500,INT((ROW(A26)-1)/DAY(EOMONTH(貼り付け用!$B$2&amp;"1日",0)))+1)&amp;"","")</f>
        <v/>
      </c>
      <c r="B27" s="33" t="str">
        <f>IF(A27&lt;&gt;"",VLOOKUP(A27,子どもマスタ!$A$1:$F$301,2,FALSE),"")</f>
        <v/>
      </c>
      <c r="C27" s="34" t="str">
        <f>IF(A27&lt;&gt;"",
TEXT(VALUE(REPLACE(VLOOKUP(A27,子どもマスタ!$A$1:$F$301,5,FALSE),
FIND("(",VLOOKUP(A27,子どもマスタ!$A$1:$F$301,5,FALSE)),
FIND(")",VLOOKUP(A27,子どもマスタ!$A$1:$F$301,5,FALSE))
-FIND("(",VLOOKUP(A27,子どもマスタ!$A$1:$F$301,5,FALSE))+1,"")),"yyyy/mm/dd"),"")</f>
        <v/>
      </c>
      <c r="D27" s="35"/>
      <c r="E27" s="36"/>
      <c r="F27" s="34" t="str">
        <f>IF(A27="","",VALUE(貼り付け用!$B$2&amp;"1日")+MOD(ROW(A26)-1,DAY(EOMONTH(貼り付け用!$B$2&amp;"1日",0))))</f>
        <v/>
      </c>
      <c r="G27" s="34"/>
      <c r="H27" s="44" t="str">
        <f ca="1">IF(A27&lt;&gt;"",OFFSET('まとめ（登園）'!$B$1,MATCH(CSVフォーム!A27,'まとめ（登園）'!$B:$B,0)-1,MATCH(DAY(F27),'まとめ（登園）'!$2:$2,0)-2),"")</f>
        <v/>
      </c>
      <c r="I27" s="44" t="str">
        <f ca="1">IF(A27&lt;&gt;"",OFFSET('まとめ（降園）'!$B$1,MATCH(CSVフォーム!A27,'まとめ（降園）'!$B:$B,0)-1,MATCH(DAY(F27),'まとめ（降園）'!$2:$2,0)-2),"")</f>
        <v/>
      </c>
    </row>
    <row r="28" spans="1:9" ht="17.399999999999999" customHeight="1" x14ac:dyDescent="0.5">
      <c r="A28" s="33" t="str">
        <f t="array" ref="A28">IFERROR(INDEX('まとめ（登園）'!$B$3:$B$500,INT((ROW(A27)-1)/DAY(EOMONTH(貼り付け用!$B$2&amp;"1日",0)))+1)&amp;"","")</f>
        <v/>
      </c>
      <c r="B28" s="33" t="str">
        <f>IF(A28&lt;&gt;"",VLOOKUP(A28,子どもマスタ!$A$1:$F$301,2,FALSE),"")</f>
        <v/>
      </c>
      <c r="C28" s="34" t="str">
        <f>IF(A28&lt;&gt;"",
TEXT(VALUE(REPLACE(VLOOKUP(A28,子どもマスタ!$A$1:$F$301,5,FALSE),
FIND("(",VLOOKUP(A28,子どもマスタ!$A$1:$F$301,5,FALSE)),
FIND(")",VLOOKUP(A28,子どもマスタ!$A$1:$F$301,5,FALSE))
-FIND("(",VLOOKUP(A28,子どもマスタ!$A$1:$F$301,5,FALSE))+1,"")),"yyyy/mm/dd"),"")</f>
        <v/>
      </c>
      <c r="D28" s="35"/>
      <c r="E28" s="36"/>
      <c r="F28" s="34" t="str">
        <f>IF(A28="","",VALUE(貼り付け用!$B$2&amp;"1日")+MOD(ROW(A27)-1,DAY(EOMONTH(貼り付け用!$B$2&amp;"1日",0))))</f>
        <v/>
      </c>
      <c r="G28" s="34"/>
      <c r="H28" s="44" t="str">
        <f ca="1">IF(A28&lt;&gt;"",OFFSET('まとめ（登園）'!$B$1,MATCH(CSVフォーム!A28,'まとめ（登園）'!$B:$B,0)-1,MATCH(DAY(F28),'まとめ（登園）'!$2:$2,0)-2),"")</f>
        <v/>
      </c>
      <c r="I28" s="44" t="str">
        <f ca="1">IF(A28&lt;&gt;"",OFFSET('まとめ（降園）'!$B$1,MATCH(CSVフォーム!A28,'まとめ（降園）'!$B:$B,0)-1,MATCH(DAY(F28),'まとめ（降園）'!$2:$2,0)-2),"")</f>
        <v/>
      </c>
    </row>
    <row r="29" spans="1:9" ht="17.399999999999999" customHeight="1" x14ac:dyDescent="0.5">
      <c r="A29" s="33" t="str">
        <f t="array" ref="A29">IFERROR(INDEX('まとめ（登園）'!$B$3:$B$500,INT((ROW(A28)-1)/DAY(EOMONTH(貼り付け用!$B$2&amp;"1日",0)))+1)&amp;"","")</f>
        <v/>
      </c>
      <c r="B29" s="33" t="str">
        <f>IF(A29&lt;&gt;"",VLOOKUP(A29,子どもマスタ!$A$1:$F$301,2,FALSE),"")</f>
        <v/>
      </c>
      <c r="C29" s="34" t="str">
        <f>IF(A29&lt;&gt;"",
TEXT(VALUE(REPLACE(VLOOKUP(A29,子どもマスタ!$A$1:$F$301,5,FALSE),
FIND("(",VLOOKUP(A29,子どもマスタ!$A$1:$F$301,5,FALSE)),
FIND(")",VLOOKUP(A29,子どもマスタ!$A$1:$F$301,5,FALSE))
-FIND("(",VLOOKUP(A29,子どもマスタ!$A$1:$F$301,5,FALSE))+1,"")),"yyyy/mm/dd"),"")</f>
        <v/>
      </c>
      <c r="D29" s="35"/>
      <c r="E29" s="36"/>
      <c r="F29" s="34" t="str">
        <f>IF(A29="","",VALUE(貼り付け用!$B$2&amp;"1日")+MOD(ROW(A28)-1,DAY(EOMONTH(貼り付け用!$B$2&amp;"1日",0))))</f>
        <v/>
      </c>
      <c r="G29" s="34"/>
      <c r="H29" s="44" t="str">
        <f ca="1">IF(A29&lt;&gt;"",OFFSET('まとめ（登園）'!$B$1,MATCH(CSVフォーム!A29,'まとめ（登園）'!$B:$B,0)-1,MATCH(DAY(F29),'まとめ（登園）'!$2:$2,0)-2),"")</f>
        <v/>
      </c>
      <c r="I29" s="44" t="str">
        <f ca="1">IF(A29&lt;&gt;"",OFFSET('まとめ（降園）'!$B$1,MATCH(CSVフォーム!A29,'まとめ（降園）'!$B:$B,0)-1,MATCH(DAY(F29),'まとめ（降園）'!$2:$2,0)-2),"")</f>
        <v/>
      </c>
    </row>
    <row r="30" spans="1:9" ht="17.399999999999999" customHeight="1" x14ac:dyDescent="0.5">
      <c r="A30" s="33" t="str">
        <f t="array" ref="A30">IFERROR(INDEX('まとめ（登園）'!$B$3:$B$500,INT((ROW(A29)-1)/DAY(EOMONTH(貼り付け用!$B$2&amp;"1日",0)))+1)&amp;"","")</f>
        <v/>
      </c>
      <c r="B30" s="33" t="str">
        <f>IF(A30&lt;&gt;"",VLOOKUP(A30,子どもマスタ!$A$1:$F$301,2,FALSE),"")</f>
        <v/>
      </c>
      <c r="C30" s="34" t="str">
        <f>IF(A30&lt;&gt;"",
TEXT(VALUE(REPLACE(VLOOKUP(A30,子どもマスタ!$A$1:$F$301,5,FALSE),
FIND("(",VLOOKUP(A30,子どもマスタ!$A$1:$F$301,5,FALSE)),
FIND(")",VLOOKUP(A30,子どもマスタ!$A$1:$F$301,5,FALSE))
-FIND("(",VLOOKUP(A30,子どもマスタ!$A$1:$F$301,5,FALSE))+1,"")),"yyyy/mm/dd"),"")</f>
        <v/>
      </c>
      <c r="D30" s="35"/>
      <c r="E30" s="36"/>
      <c r="F30" s="34" t="str">
        <f>IF(A30="","",VALUE(貼り付け用!$B$2&amp;"1日")+MOD(ROW(A29)-1,DAY(EOMONTH(貼り付け用!$B$2&amp;"1日",0))))</f>
        <v/>
      </c>
      <c r="G30" s="34"/>
      <c r="H30" s="44" t="str">
        <f ca="1">IF(A30&lt;&gt;"",OFFSET('まとめ（登園）'!$B$1,MATCH(CSVフォーム!A30,'まとめ（登園）'!$B:$B,0)-1,MATCH(DAY(F30),'まとめ（登園）'!$2:$2,0)-2),"")</f>
        <v/>
      </c>
      <c r="I30" s="44" t="str">
        <f ca="1">IF(A30&lt;&gt;"",OFFSET('まとめ（降園）'!$B$1,MATCH(CSVフォーム!A30,'まとめ（降園）'!$B:$B,0)-1,MATCH(DAY(F30),'まとめ（降園）'!$2:$2,0)-2),"")</f>
        <v/>
      </c>
    </row>
    <row r="31" spans="1:9" ht="17.399999999999999" customHeight="1" x14ac:dyDescent="0.5">
      <c r="A31" s="33" t="str">
        <f t="array" ref="A31">IFERROR(INDEX('まとめ（登園）'!$B$3:$B$500,INT((ROW(A30)-1)/DAY(EOMONTH(貼り付け用!$B$2&amp;"1日",0)))+1)&amp;"","")</f>
        <v/>
      </c>
      <c r="B31" s="33" t="str">
        <f>IF(A31&lt;&gt;"",VLOOKUP(A31,子どもマスタ!$A$1:$F$301,2,FALSE),"")</f>
        <v/>
      </c>
      <c r="C31" s="34" t="str">
        <f>IF(A31&lt;&gt;"",
TEXT(VALUE(REPLACE(VLOOKUP(A31,子どもマスタ!$A$1:$F$301,5,FALSE),
FIND("(",VLOOKUP(A31,子どもマスタ!$A$1:$F$301,5,FALSE)),
FIND(")",VLOOKUP(A31,子どもマスタ!$A$1:$F$301,5,FALSE))
-FIND("(",VLOOKUP(A31,子どもマスタ!$A$1:$F$301,5,FALSE))+1,"")),"yyyy/mm/dd"),"")</f>
        <v/>
      </c>
      <c r="D31" s="35"/>
      <c r="E31" s="36"/>
      <c r="F31" s="34" t="str">
        <f>IF(A31="","",VALUE(貼り付け用!$B$2&amp;"1日")+MOD(ROW(A30)-1,DAY(EOMONTH(貼り付け用!$B$2&amp;"1日",0))))</f>
        <v/>
      </c>
      <c r="G31" s="34"/>
      <c r="H31" s="44" t="str">
        <f ca="1">IF(A31&lt;&gt;"",OFFSET('まとめ（登園）'!$B$1,MATCH(CSVフォーム!A31,'まとめ（登園）'!$B:$B,0)-1,MATCH(DAY(F31),'まとめ（登園）'!$2:$2,0)-2),"")</f>
        <v/>
      </c>
      <c r="I31" s="44" t="str">
        <f ca="1">IF(A31&lt;&gt;"",OFFSET('まとめ（降園）'!$B$1,MATCH(CSVフォーム!A31,'まとめ（降園）'!$B:$B,0)-1,MATCH(DAY(F31),'まとめ（降園）'!$2:$2,0)-2),"")</f>
        <v/>
      </c>
    </row>
    <row r="32" spans="1:9" ht="17.399999999999999" customHeight="1" x14ac:dyDescent="0.5">
      <c r="A32" s="33" t="str">
        <f t="array" ref="A32">IFERROR(INDEX('まとめ（登園）'!$B$3:$B$500,INT((ROW(A31)-1)/DAY(EOMONTH(貼り付け用!$B$2&amp;"1日",0)))+1)&amp;"","")</f>
        <v/>
      </c>
      <c r="B32" s="33" t="str">
        <f>IF(A32&lt;&gt;"",VLOOKUP(A32,子どもマスタ!$A$1:$F$301,2,FALSE),"")</f>
        <v/>
      </c>
      <c r="C32" s="34" t="str">
        <f>IF(A32&lt;&gt;"",
TEXT(VALUE(REPLACE(VLOOKUP(A32,子どもマスタ!$A$1:$F$301,5,FALSE),
FIND("(",VLOOKUP(A32,子どもマスタ!$A$1:$F$301,5,FALSE)),
FIND(")",VLOOKUP(A32,子どもマスタ!$A$1:$F$301,5,FALSE))
-FIND("(",VLOOKUP(A32,子どもマスタ!$A$1:$F$301,5,FALSE))+1,"")),"yyyy/mm/dd"),"")</f>
        <v/>
      </c>
      <c r="D32" s="35"/>
      <c r="E32" s="36"/>
      <c r="F32" s="34" t="str">
        <f>IF(A32="","",VALUE(貼り付け用!$B$2&amp;"1日")+MOD(ROW(A31)-1,DAY(EOMONTH(貼り付け用!$B$2&amp;"1日",0))))</f>
        <v/>
      </c>
      <c r="G32" s="34"/>
      <c r="H32" s="44" t="str">
        <f ca="1">IF(A32&lt;&gt;"",OFFSET('まとめ（登園）'!$B$1,MATCH(CSVフォーム!A32,'まとめ（登園）'!$B:$B,0)-1,MATCH(DAY(F32),'まとめ（登園）'!$2:$2,0)-2),"")</f>
        <v/>
      </c>
      <c r="I32" s="44" t="str">
        <f ca="1">IF(A32&lt;&gt;"",OFFSET('まとめ（降園）'!$B$1,MATCH(CSVフォーム!A32,'まとめ（降園）'!$B:$B,0)-1,MATCH(DAY(F32),'まとめ（降園）'!$2:$2,0)-2),"")</f>
        <v/>
      </c>
    </row>
    <row r="33" spans="1:9" ht="17.399999999999999" customHeight="1" x14ac:dyDescent="0.5">
      <c r="A33" s="33" t="str">
        <f t="array" ref="A33">IFERROR(INDEX('まとめ（登園）'!$B$3:$B$500,INT((ROW(A32)-1)/DAY(EOMONTH(貼り付け用!$B$2&amp;"1日",0)))+1)&amp;"","")</f>
        <v/>
      </c>
      <c r="B33" s="33" t="str">
        <f>IF(A33&lt;&gt;"",VLOOKUP(A33,子どもマスタ!$A$1:$F$301,2,FALSE),"")</f>
        <v/>
      </c>
      <c r="C33" s="34" t="str">
        <f>IF(A33&lt;&gt;"",
TEXT(VALUE(REPLACE(VLOOKUP(A33,子どもマスタ!$A$1:$F$301,5,FALSE),
FIND("(",VLOOKUP(A33,子どもマスタ!$A$1:$F$301,5,FALSE)),
FIND(")",VLOOKUP(A33,子どもマスタ!$A$1:$F$301,5,FALSE))
-FIND("(",VLOOKUP(A33,子どもマスタ!$A$1:$F$301,5,FALSE))+1,"")),"yyyy/mm/dd"),"")</f>
        <v/>
      </c>
      <c r="D33" s="35"/>
      <c r="E33" s="36"/>
      <c r="F33" s="34" t="str">
        <f>IF(A33="","",VALUE(貼り付け用!$B$2&amp;"1日")+MOD(ROW(A32)-1,DAY(EOMONTH(貼り付け用!$B$2&amp;"1日",0))))</f>
        <v/>
      </c>
      <c r="G33" s="34"/>
      <c r="H33" s="44" t="str">
        <f ca="1">IF(A33&lt;&gt;"",OFFSET('まとめ（登園）'!$B$1,MATCH(CSVフォーム!A33,'まとめ（登園）'!$B:$B,0)-1,MATCH(DAY(F33),'まとめ（登園）'!$2:$2,0)-2),"")</f>
        <v/>
      </c>
      <c r="I33" s="44" t="str">
        <f ca="1">IF(A33&lt;&gt;"",OFFSET('まとめ（降園）'!$B$1,MATCH(CSVフォーム!A33,'まとめ（降園）'!$B:$B,0)-1,MATCH(DAY(F33),'まとめ（降園）'!$2:$2,0)-2),"")</f>
        <v/>
      </c>
    </row>
    <row r="34" spans="1:9" ht="17.399999999999999" customHeight="1" x14ac:dyDescent="0.5">
      <c r="A34" s="33" t="str">
        <f t="array" ref="A34">IFERROR(INDEX('まとめ（登園）'!$B$3:$B$500,INT((ROW(A33)-1)/DAY(EOMONTH(貼り付け用!$B$2&amp;"1日",0)))+1)&amp;"","")</f>
        <v/>
      </c>
      <c r="B34" s="33" t="str">
        <f>IF(A34&lt;&gt;"",VLOOKUP(A34,子どもマスタ!$A$1:$F$301,2,FALSE),"")</f>
        <v/>
      </c>
      <c r="C34" s="34" t="str">
        <f>IF(A34&lt;&gt;"",
TEXT(VALUE(REPLACE(VLOOKUP(A34,子どもマスタ!$A$1:$F$301,5,FALSE),
FIND("(",VLOOKUP(A34,子どもマスタ!$A$1:$F$301,5,FALSE)),
FIND(")",VLOOKUP(A34,子どもマスタ!$A$1:$F$301,5,FALSE))
-FIND("(",VLOOKUP(A34,子どもマスタ!$A$1:$F$301,5,FALSE))+1,"")),"yyyy/mm/dd"),"")</f>
        <v/>
      </c>
      <c r="D34" s="35"/>
      <c r="E34" s="36"/>
      <c r="F34" s="34" t="str">
        <f>IF(A34="","",VALUE(貼り付け用!$B$2&amp;"1日")+MOD(ROW(A33)-1,DAY(EOMONTH(貼り付け用!$B$2&amp;"1日",0))))</f>
        <v/>
      </c>
      <c r="G34" s="34"/>
      <c r="H34" s="44" t="str">
        <f ca="1">IF(A34&lt;&gt;"",OFFSET('まとめ（登園）'!$B$1,MATCH(CSVフォーム!A34,'まとめ（登園）'!$B:$B,0)-1,MATCH(DAY(F34),'まとめ（登園）'!$2:$2,0)-2),"")</f>
        <v/>
      </c>
      <c r="I34" s="44" t="str">
        <f ca="1">IF(A34&lt;&gt;"",OFFSET('まとめ（降園）'!$B$1,MATCH(CSVフォーム!A34,'まとめ（降園）'!$B:$B,0)-1,MATCH(DAY(F34),'まとめ（降園）'!$2:$2,0)-2),"")</f>
        <v/>
      </c>
    </row>
    <row r="35" spans="1:9" ht="17.399999999999999" customHeight="1" x14ac:dyDescent="0.5">
      <c r="A35" s="33" t="str">
        <f t="array" ref="A35">IFERROR(INDEX('まとめ（登園）'!$B$3:$B$500,INT((ROW(A34)-1)/DAY(EOMONTH(貼り付け用!$B$2&amp;"1日",0)))+1)&amp;"","")</f>
        <v/>
      </c>
      <c r="B35" s="33" t="str">
        <f>IF(A35&lt;&gt;"",VLOOKUP(A35,子どもマスタ!$A$1:$F$301,2,FALSE),"")</f>
        <v/>
      </c>
      <c r="C35" s="34" t="str">
        <f>IF(A35&lt;&gt;"",
TEXT(VALUE(REPLACE(VLOOKUP(A35,子どもマスタ!$A$1:$F$301,5,FALSE),
FIND("(",VLOOKUP(A35,子どもマスタ!$A$1:$F$301,5,FALSE)),
FIND(")",VLOOKUP(A35,子どもマスタ!$A$1:$F$301,5,FALSE))
-FIND("(",VLOOKUP(A35,子どもマスタ!$A$1:$F$301,5,FALSE))+1,"")),"yyyy/mm/dd"),"")</f>
        <v/>
      </c>
      <c r="D35" s="35"/>
      <c r="E35" s="36"/>
      <c r="F35" s="34" t="str">
        <f>IF(A35="","",VALUE(貼り付け用!$B$2&amp;"1日")+MOD(ROW(A34)-1,DAY(EOMONTH(貼り付け用!$B$2&amp;"1日",0))))</f>
        <v/>
      </c>
      <c r="G35" s="34"/>
      <c r="H35" s="44" t="str">
        <f ca="1">IF(A35&lt;&gt;"",OFFSET('まとめ（登園）'!$B$1,MATCH(CSVフォーム!A35,'まとめ（登園）'!$B:$B,0)-1,MATCH(DAY(F35),'まとめ（登園）'!$2:$2,0)-2),"")</f>
        <v/>
      </c>
      <c r="I35" s="44" t="str">
        <f ca="1">IF(A35&lt;&gt;"",OFFSET('まとめ（降園）'!$B$1,MATCH(CSVフォーム!A35,'まとめ（降園）'!$B:$B,0)-1,MATCH(DAY(F35),'まとめ（降園）'!$2:$2,0)-2),"")</f>
        <v/>
      </c>
    </row>
    <row r="36" spans="1:9" ht="17.399999999999999" customHeight="1" x14ac:dyDescent="0.5">
      <c r="A36" s="33" t="str">
        <f t="array" ref="A36">IFERROR(INDEX('まとめ（登園）'!$B$3:$B$500,INT((ROW(A35)-1)/DAY(EOMONTH(貼り付け用!$B$2&amp;"1日",0)))+1)&amp;"","")</f>
        <v/>
      </c>
      <c r="B36" s="33" t="str">
        <f>IF(A36&lt;&gt;"",VLOOKUP(A36,子どもマスタ!$A$1:$F$301,2,FALSE),"")</f>
        <v/>
      </c>
      <c r="C36" s="34" t="str">
        <f>IF(A36&lt;&gt;"",
TEXT(VALUE(REPLACE(VLOOKUP(A36,子どもマスタ!$A$1:$F$301,5,FALSE),
FIND("(",VLOOKUP(A36,子どもマスタ!$A$1:$F$301,5,FALSE)),
FIND(")",VLOOKUP(A36,子どもマスタ!$A$1:$F$301,5,FALSE))
-FIND("(",VLOOKUP(A36,子どもマスタ!$A$1:$F$301,5,FALSE))+1,"")),"yyyy/mm/dd"),"")</f>
        <v/>
      </c>
      <c r="D36" s="35"/>
      <c r="E36" s="36"/>
      <c r="F36" s="34" t="str">
        <f>IF(A36="","",VALUE(貼り付け用!$B$2&amp;"1日")+MOD(ROW(A35)-1,DAY(EOMONTH(貼り付け用!$B$2&amp;"1日",0))))</f>
        <v/>
      </c>
      <c r="G36" s="34"/>
      <c r="H36" s="44" t="str">
        <f ca="1">IF(A36&lt;&gt;"",OFFSET('まとめ（登園）'!$B$1,MATCH(CSVフォーム!A36,'まとめ（登園）'!$B:$B,0)-1,MATCH(DAY(F36),'まとめ（登園）'!$2:$2,0)-2),"")</f>
        <v/>
      </c>
      <c r="I36" s="44" t="str">
        <f ca="1">IF(A36&lt;&gt;"",OFFSET('まとめ（降園）'!$B$1,MATCH(CSVフォーム!A36,'まとめ（降園）'!$B:$B,0)-1,MATCH(DAY(F36),'まとめ（降園）'!$2:$2,0)-2),"")</f>
        <v/>
      </c>
    </row>
    <row r="37" spans="1:9" ht="17.399999999999999" customHeight="1" x14ac:dyDescent="0.5">
      <c r="A37" s="33" t="str">
        <f t="array" ref="A37">IFERROR(INDEX('まとめ（登園）'!$B$3:$B$500,INT((ROW(A36)-1)/DAY(EOMONTH(貼り付け用!$B$2&amp;"1日",0)))+1)&amp;"","")</f>
        <v/>
      </c>
      <c r="B37" s="33" t="str">
        <f>IF(A37&lt;&gt;"",VLOOKUP(A37,子どもマスタ!$A$1:$F$301,2,FALSE),"")</f>
        <v/>
      </c>
      <c r="C37" s="34" t="str">
        <f>IF(A37&lt;&gt;"",
TEXT(VALUE(REPLACE(VLOOKUP(A37,子どもマスタ!$A$1:$F$301,5,FALSE),
FIND("(",VLOOKUP(A37,子どもマスタ!$A$1:$F$301,5,FALSE)),
FIND(")",VLOOKUP(A37,子どもマスタ!$A$1:$F$301,5,FALSE))
-FIND("(",VLOOKUP(A37,子どもマスタ!$A$1:$F$301,5,FALSE))+1,"")),"yyyy/mm/dd"),"")</f>
        <v/>
      </c>
      <c r="D37" s="35"/>
      <c r="E37" s="36"/>
      <c r="F37" s="34" t="str">
        <f>IF(A37="","",VALUE(貼り付け用!$B$2&amp;"1日")+MOD(ROW(A36)-1,DAY(EOMONTH(貼り付け用!$B$2&amp;"1日",0))))</f>
        <v/>
      </c>
      <c r="G37" s="34"/>
      <c r="H37" s="44" t="str">
        <f ca="1">IF(A37&lt;&gt;"",OFFSET('まとめ（登園）'!$B$1,MATCH(CSVフォーム!A37,'まとめ（登園）'!$B:$B,0)-1,MATCH(DAY(F37),'まとめ（登園）'!$2:$2,0)-2),"")</f>
        <v/>
      </c>
      <c r="I37" s="44" t="str">
        <f ca="1">IF(A37&lt;&gt;"",OFFSET('まとめ（降園）'!$B$1,MATCH(CSVフォーム!A37,'まとめ（降園）'!$B:$B,0)-1,MATCH(DAY(F37),'まとめ（降園）'!$2:$2,0)-2),"")</f>
        <v/>
      </c>
    </row>
    <row r="38" spans="1:9" ht="17.399999999999999" customHeight="1" x14ac:dyDescent="0.5">
      <c r="A38" s="33" t="str">
        <f t="array" ref="A38">IFERROR(INDEX('まとめ（登園）'!$B$3:$B$500,INT((ROW(A37)-1)/DAY(EOMONTH(貼り付け用!$B$2&amp;"1日",0)))+1)&amp;"","")</f>
        <v/>
      </c>
      <c r="B38" s="33" t="str">
        <f>IF(A38&lt;&gt;"",VLOOKUP(A38,子どもマスタ!$A$1:$F$301,2,FALSE),"")</f>
        <v/>
      </c>
      <c r="C38" s="34" t="str">
        <f>IF(A38&lt;&gt;"",
TEXT(VALUE(REPLACE(VLOOKUP(A38,子どもマスタ!$A$1:$F$301,5,FALSE),
FIND("(",VLOOKUP(A38,子どもマスタ!$A$1:$F$301,5,FALSE)),
FIND(")",VLOOKUP(A38,子どもマスタ!$A$1:$F$301,5,FALSE))
-FIND("(",VLOOKUP(A38,子どもマスタ!$A$1:$F$301,5,FALSE))+1,"")),"yyyy/mm/dd"),"")</f>
        <v/>
      </c>
      <c r="D38" s="35"/>
      <c r="E38" s="36"/>
      <c r="F38" s="34" t="str">
        <f>IF(A38="","",VALUE(貼り付け用!$B$2&amp;"1日")+MOD(ROW(A37)-1,DAY(EOMONTH(貼り付け用!$B$2&amp;"1日",0))))</f>
        <v/>
      </c>
      <c r="G38" s="34"/>
      <c r="H38" s="44" t="str">
        <f ca="1">IF(A38&lt;&gt;"",OFFSET('まとめ（登園）'!$B$1,MATCH(CSVフォーム!A38,'まとめ（登園）'!$B:$B,0)-1,MATCH(DAY(F38),'まとめ（登園）'!$2:$2,0)-2),"")</f>
        <v/>
      </c>
      <c r="I38" s="44" t="str">
        <f ca="1">IF(A38&lt;&gt;"",OFFSET('まとめ（降園）'!$B$1,MATCH(CSVフォーム!A38,'まとめ（降園）'!$B:$B,0)-1,MATCH(DAY(F38),'まとめ（降園）'!$2:$2,0)-2),"")</f>
        <v/>
      </c>
    </row>
    <row r="39" spans="1:9" ht="17.399999999999999" customHeight="1" x14ac:dyDescent="0.5">
      <c r="A39" s="33" t="str">
        <f t="array" ref="A39">IFERROR(INDEX('まとめ（登園）'!$B$3:$B$500,INT((ROW(A38)-1)/DAY(EOMONTH(貼り付け用!$B$2&amp;"1日",0)))+1)&amp;"","")</f>
        <v/>
      </c>
      <c r="B39" s="33" t="str">
        <f>IF(A39&lt;&gt;"",VLOOKUP(A39,子どもマスタ!$A$1:$F$301,2,FALSE),"")</f>
        <v/>
      </c>
      <c r="C39" s="34" t="str">
        <f>IF(A39&lt;&gt;"",
TEXT(VALUE(REPLACE(VLOOKUP(A39,子どもマスタ!$A$1:$F$301,5,FALSE),
FIND("(",VLOOKUP(A39,子どもマスタ!$A$1:$F$301,5,FALSE)),
FIND(")",VLOOKUP(A39,子どもマスタ!$A$1:$F$301,5,FALSE))
-FIND("(",VLOOKUP(A39,子どもマスタ!$A$1:$F$301,5,FALSE))+1,"")),"yyyy/mm/dd"),"")</f>
        <v/>
      </c>
      <c r="D39" s="35"/>
      <c r="E39" s="36"/>
      <c r="F39" s="34" t="str">
        <f>IF(A39="","",VALUE(貼り付け用!$B$2&amp;"1日")+MOD(ROW(A38)-1,DAY(EOMONTH(貼り付け用!$B$2&amp;"1日",0))))</f>
        <v/>
      </c>
      <c r="G39" s="34"/>
      <c r="H39" s="44" t="str">
        <f ca="1">IF(A39&lt;&gt;"",OFFSET('まとめ（登園）'!$B$1,MATCH(CSVフォーム!A39,'まとめ（登園）'!$B:$B,0)-1,MATCH(DAY(F39),'まとめ（登園）'!$2:$2,0)-2),"")</f>
        <v/>
      </c>
      <c r="I39" s="44" t="str">
        <f ca="1">IF(A39&lt;&gt;"",OFFSET('まとめ（降園）'!$B$1,MATCH(CSVフォーム!A39,'まとめ（降園）'!$B:$B,0)-1,MATCH(DAY(F39),'まとめ（降園）'!$2:$2,0)-2),"")</f>
        <v/>
      </c>
    </row>
    <row r="40" spans="1:9" ht="17.399999999999999" customHeight="1" x14ac:dyDescent="0.5">
      <c r="A40" s="33" t="str">
        <f t="array" ref="A40">IFERROR(INDEX('まとめ（登園）'!$B$3:$B$500,INT((ROW(A39)-1)/DAY(EOMONTH(貼り付け用!$B$2&amp;"1日",0)))+1)&amp;"","")</f>
        <v/>
      </c>
      <c r="B40" s="33" t="str">
        <f>IF(A40&lt;&gt;"",VLOOKUP(A40,子どもマスタ!$A$1:$F$301,2,FALSE),"")</f>
        <v/>
      </c>
      <c r="C40" s="34" t="str">
        <f>IF(A40&lt;&gt;"",
TEXT(VALUE(REPLACE(VLOOKUP(A40,子どもマスタ!$A$1:$F$301,5,FALSE),
FIND("(",VLOOKUP(A40,子どもマスタ!$A$1:$F$301,5,FALSE)),
FIND(")",VLOOKUP(A40,子どもマスタ!$A$1:$F$301,5,FALSE))
-FIND("(",VLOOKUP(A40,子どもマスタ!$A$1:$F$301,5,FALSE))+1,"")),"yyyy/mm/dd"),"")</f>
        <v/>
      </c>
      <c r="D40" s="35"/>
      <c r="E40" s="36"/>
      <c r="F40" s="34" t="str">
        <f>IF(A40="","",VALUE(貼り付け用!$B$2&amp;"1日")+MOD(ROW(A39)-1,DAY(EOMONTH(貼り付け用!$B$2&amp;"1日",0))))</f>
        <v/>
      </c>
      <c r="G40" s="34"/>
      <c r="H40" s="44" t="str">
        <f ca="1">IF(A40&lt;&gt;"",OFFSET('まとめ（登園）'!$B$1,MATCH(CSVフォーム!A40,'まとめ（登園）'!$B:$B,0)-1,MATCH(DAY(F40),'まとめ（登園）'!$2:$2,0)-2),"")</f>
        <v/>
      </c>
      <c r="I40" s="44" t="str">
        <f ca="1">IF(A40&lt;&gt;"",OFFSET('まとめ（降園）'!$B$1,MATCH(CSVフォーム!A40,'まとめ（降園）'!$B:$B,0)-1,MATCH(DAY(F40),'まとめ（降園）'!$2:$2,0)-2),"")</f>
        <v/>
      </c>
    </row>
    <row r="41" spans="1:9" ht="17.399999999999999" customHeight="1" x14ac:dyDescent="0.5">
      <c r="A41" s="33" t="str">
        <f t="array" ref="A41">IFERROR(INDEX('まとめ（登園）'!$B$3:$B$500,INT((ROW(A40)-1)/DAY(EOMONTH(貼り付け用!$B$2&amp;"1日",0)))+1)&amp;"","")</f>
        <v/>
      </c>
      <c r="B41" s="33" t="str">
        <f>IF(A41&lt;&gt;"",VLOOKUP(A41,子どもマスタ!$A$1:$F$301,2,FALSE),"")</f>
        <v/>
      </c>
      <c r="C41" s="34" t="str">
        <f>IF(A41&lt;&gt;"",
TEXT(VALUE(REPLACE(VLOOKUP(A41,子どもマスタ!$A$1:$F$301,5,FALSE),
FIND("(",VLOOKUP(A41,子どもマスタ!$A$1:$F$301,5,FALSE)),
FIND(")",VLOOKUP(A41,子どもマスタ!$A$1:$F$301,5,FALSE))
-FIND("(",VLOOKUP(A41,子どもマスタ!$A$1:$F$301,5,FALSE))+1,"")),"yyyy/mm/dd"),"")</f>
        <v/>
      </c>
      <c r="D41" s="35"/>
      <c r="E41" s="36"/>
      <c r="F41" s="34" t="str">
        <f>IF(A41="","",VALUE(貼り付け用!$B$2&amp;"1日")+MOD(ROW(A40)-1,DAY(EOMONTH(貼り付け用!$B$2&amp;"1日",0))))</f>
        <v/>
      </c>
      <c r="G41" s="34"/>
      <c r="H41" s="44" t="str">
        <f ca="1">IF(A41&lt;&gt;"",OFFSET('まとめ（登園）'!$B$1,MATCH(CSVフォーム!A41,'まとめ（登園）'!$B:$B,0)-1,MATCH(DAY(F41),'まとめ（登園）'!$2:$2,0)-2),"")</f>
        <v/>
      </c>
      <c r="I41" s="44" t="str">
        <f ca="1">IF(A41&lt;&gt;"",OFFSET('まとめ（降園）'!$B$1,MATCH(CSVフォーム!A41,'まとめ（降園）'!$B:$B,0)-1,MATCH(DAY(F41),'まとめ（降園）'!$2:$2,0)-2),"")</f>
        <v/>
      </c>
    </row>
    <row r="42" spans="1:9" ht="17.399999999999999" customHeight="1" x14ac:dyDescent="0.5">
      <c r="A42" s="33" t="str">
        <f t="array" ref="A42">IFERROR(INDEX('まとめ（登園）'!$B$3:$B$500,INT((ROW(A41)-1)/DAY(EOMONTH(貼り付け用!$B$2&amp;"1日",0)))+1)&amp;"","")</f>
        <v/>
      </c>
      <c r="B42" s="33" t="str">
        <f>IF(A42&lt;&gt;"",VLOOKUP(A42,子どもマスタ!$A$1:$F$301,2,FALSE),"")</f>
        <v/>
      </c>
      <c r="C42" s="34" t="str">
        <f>IF(A42&lt;&gt;"",
TEXT(VALUE(REPLACE(VLOOKUP(A42,子どもマスタ!$A$1:$F$301,5,FALSE),
FIND("(",VLOOKUP(A42,子どもマスタ!$A$1:$F$301,5,FALSE)),
FIND(")",VLOOKUP(A42,子どもマスタ!$A$1:$F$301,5,FALSE))
-FIND("(",VLOOKUP(A42,子どもマスタ!$A$1:$F$301,5,FALSE))+1,"")),"yyyy/mm/dd"),"")</f>
        <v/>
      </c>
      <c r="D42" s="35"/>
      <c r="E42" s="36"/>
      <c r="F42" s="34" t="str">
        <f>IF(A42="","",VALUE(貼り付け用!$B$2&amp;"1日")+MOD(ROW(A41)-1,DAY(EOMONTH(貼り付け用!$B$2&amp;"1日",0))))</f>
        <v/>
      </c>
      <c r="G42" s="34"/>
      <c r="H42" s="44" t="str">
        <f ca="1">IF(A42&lt;&gt;"",OFFSET('まとめ（登園）'!$B$1,MATCH(CSVフォーム!A42,'まとめ（登園）'!$B:$B,0)-1,MATCH(DAY(F42),'まとめ（登園）'!$2:$2,0)-2),"")</f>
        <v/>
      </c>
      <c r="I42" s="44" t="str">
        <f ca="1">IF(A42&lt;&gt;"",OFFSET('まとめ（降園）'!$B$1,MATCH(CSVフォーム!A42,'まとめ（降園）'!$B:$B,0)-1,MATCH(DAY(F42),'まとめ（降園）'!$2:$2,0)-2),"")</f>
        <v/>
      </c>
    </row>
    <row r="43" spans="1:9" ht="17.399999999999999" customHeight="1" x14ac:dyDescent="0.5">
      <c r="A43" s="33" t="str">
        <f t="array" ref="A43">IFERROR(INDEX('まとめ（登園）'!$B$3:$B$500,INT((ROW(A42)-1)/DAY(EOMONTH(貼り付け用!$B$2&amp;"1日",0)))+1)&amp;"","")</f>
        <v/>
      </c>
      <c r="B43" s="33" t="str">
        <f>IF(A43&lt;&gt;"",VLOOKUP(A43,子どもマスタ!$A$1:$F$301,2,FALSE),"")</f>
        <v/>
      </c>
      <c r="C43" s="34" t="str">
        <f>IF(A43&lt;&gt;"",
TEXT(VALUE(REPLACE(VLOOKUP(A43,子どもマスタ!$A$1:$F$301,5,FALSE),
FIND("(",VLOOKUP(A43,子どもマスタ!$A$1:$F$301,5,FALSE)),
FIND(")",VLOOKUP(A43,子どもマスタ!$A$1:$F$301,5,FALSE))
-FIND("(",VLOOKUP(A43,子どもマスタ!$A$1:$F$301,5,FALSE))+1,"")),"yyyy/mm/dd"),"")</f>
        <v/>
      </c>
      <c r="D43" s="35"/>
      <c r="E43" s="36"/>
      <c r="F43" s="34" t="str">
        <f>IF(A43="","",VALUE(貼り付け用!$B$2&amp;"1日")+MOD(ROW(A42)-1,DAY(EOMONTH(貼り付け用!$B$2&amp;"1日",0))))</f>
        <v/>
      </c>
      <c r="G43" s="34"/>
      <c r="H43" s="44" t="str">
        <f ca="1">IF(A43&lt;&gt;"",OFFSET('まとめ（登園）'!$B$1,MATCH(CSVフォーム!A43,'まとめ（登園）'!$B:$B,0)-1,MATCH(DAY(F43),'まとめ（登園）'!$2:$2,0)-2),"")</f>
        <v/>
      </c>
      <c r="I43" s="44" t="str">
        <f ca="1">IF(A43&lt;&gt;"",OFFSET('まとめ（降園）'!$B$1,MATCH(CSVフォーム!A43,'まとめ（降園）'!$B:$B,0)-1,MATCH(DAY(F43),'まとめ（降園）'!$2:$2,0)-2),"")</f>
        <v/>
      </c>
    </row>
    <row r="44" spans="1:9" ht="17.399999999999999" customHeight="1" x14ac:dyDescent="0.5">
      <c r="A44" s="33" t="str">
        <f t="array" ref="A44">IFERROR(INDEX('まとめ（登園）'!$B$3:$B$500,INT((ROW(A43)-1)/DAY(EOMONTH(貼り付け用!$B$2&amp;"1日",0)))+1)&amp;"","")</f>
        <v/>
      </c>
      <c r="B44" s="33" t="str">
        <f>IF(A44&lt;&gt;"",VLOOKUP(A44,子どもマスタ!$A$1:$F$301,2,FALSE),"")</f>
        <v/>
      </c>
      <c r="C44" s="34" t="str">
        <f>IF(A44&lt;&gt;"",
TEXT(VALUE(REPLACE(VLOOKUP(A44,子どもマスタ!$A$1:$F$301,5,FALSE),
FIND("(",VLOOKUP(A44,子どもマスタ!$A$1:$F$301,5,FALSE)),
FIND(")",VLOOKUP(A44,子どもマスタ!$A$1:$F$301,5,FALSE))
-FIND("(",VLOOKUP(A44,子どもマスタ!$A$1:$F$301,5,FALSE))+1,"")),"yyyy/mm/dd"),"")</f>
        <v/>
      </c>
      <c r="D44" s="35"/>
      <c r="E44" s="36"/>
      <c r="F44" s="34" t="str">
        <f>IF(A44="","",VALUE(貼り付け用!$B$2&amp;"1日")+MOD(ROW(A43)-1,DAY(EOMONTH(貼り付け用!$B$2&amp;"1日",0))))</f>
        <v/>
      </c>
      <c r="G44" s="34"/>
      <c r="H44" s="44" t="str">
        <f ca="1">IF(A44&lt;&gt;"",OFFSET('まとめ（登園）'!$B$1,MATCH(CSVフォーム!A44,'まとめ（登園）'!$B:$B,0)-1,MATCH(DAY(F44),'まとめ（登園）'!$2:$2,0)-2),"")</f>
        <v/>
      </c>
      <c r="I44" s="44" t="str">
        <f ca="1">IF(A44&lt;&gt;"",OFFSET('まとめ（降園）'!$B$1,MATCH(CSVフォーム!A44,'まとめ（降園）'!$B:$B,0)-1,MATCH(DAY(F44),'まとめ（降園）'!$2:$2,0)-2),"")</f>
        <v/>
      </c>
    </row>
    <row r="45" spans="1:9" ht="17.399999999999999" customHeight="1" x14ac:dyDescent="0.5">
      <c r="A45" s="33" t="str">
        <f t="array" ref="A45">IFERROR(INDEX('まとめ（登園）'!$B$3:$B$500,INT((ROW(A44)-1)/DAY(EOMONTH(貼り付け用!$B$2&amp;"1日",0)))+1)&amp;"","")</f>
        <v/>
      </c>
      <c r="B45" s="33" t="str">
        <f>IF(A45&lt;&gt;"",VLOOKUP(A45,子どもマスタ!$A$1:$F$301,2,FALSE),"")</f>
        <v/>
      </c>
      <c r="C45" s="34" t="str">
        <f>IF(A45&lt;&gt;"",
TEXT(VALUE(REPLACE(VLOOKUP(A45,子どもマスタ!$A$1:$F$301,5,FALSE),
FIND("(",VLOOKUP(A45,子どもマスタ!$A$1:$F$301,5,FALSE)),
FIND(")",VLOOKUP(A45,子どもマスタ!$A$1:$F$301,5,FALSE))
-FIND("(",VLOOKUP(A45,子どもマスタ!$A$1:$F$301,5,FALSE))+1,"")),"yyyy/mm/dd"),"")</f>
        <v/>
      </c>
      <c r="D45" s="35"/>
      <c r="E45" s="36"/>
      <c r="F45" s="34" t="str">
        <f>IF(A45="","",VALUE(貼り付け用!$B$2&amp;"1日")+MOD(ROW(A44)-1,DAY(EOMONTH(貼り付け用!$B$2&amp;"1日",0))))</f>
        <v/>
      </c>
      <c r="G45" s="34"/>
      <c r="H45" s="44" t="str">
        <f ca="1">IF(A45&lt;&gt;"",OFFSET('まとめ（登園）'!$B$1,MATCH(CSVフォーム!A45,'まとめ（登園）'!$B:$B,0)-1,MATCH(DAY(F45),'まとめ（登園）'!$2:$2,0)-2),"")</f>
        <v/>
      </c>
      <c r="I45" s="44" t="str">
        <f ca="1">IF(A45&lt;&gt;"",OFFSET('まとめ（降園）'!$B$1,MATCH(CSVフォーム!A45,'まとめ（降園）'!$B:$B,0)-1,MATCH(DAY(F45),'まとめ（降園）'!$2:$2,0)-2),"")</f>
        <v/>
      </c>
    </row>
    <row r="46" spans="1:9" ht="17.399999999999999" customHeight="1" x14ac:dyDescent="0.5">
      <c r="A46" s="33" t="str">
        <f t="array" ref="A46">IFERROR(INDEX('まとめ（登園）'!$B$3:$B$500,INT((ROW(A45)-1)/DAY(EOMONTH(貼り付け用!$B$2&amp;"1日",0)))+1)&amp;"","")</f>
        <v/>
      </c>
      <c r="B46" s="33" t="str">
        <f>IF(A46&lt;&gt;"",VLOOKUP(A46,子どもマスタ!$A$1:$F$301,2,FALSE),"")</f>
        <v/>
      </c>
      <c r="C46" s="34" t="str">
        <f>IF(A46&lt;&gt;"",
TEXT(VALUE(REPLACE(VLOOKUP(A46,子どもマスタ!$A$1:$F$301,5,FALSE),
FIND("(",VLOOKUP(A46,子どもマスタ!$A$1:$F$301,5,FALSE)),
FIND(")",VLOOKUP(A46,子どもマスタ!$A$1:$F$301,5,FALSE))
-FIND("(",VLOOKUP(A46,子どもマスタ!$A$1:$F$301,5,FALSE))+1,"")),"yyyy/mm/dd"),"")</f>
        <v/>
      </c>
      <c r="D46" s="35"/>
      <c r="E46" s="36"/>
      <c r="F46" s="34" t="str">
        <f>IF(A46="","",VALUE(貼り付け用!$B$2&amp;"1日")+MOD(ROW(A45)-1,DAY(EOMONTH(貼り付け用!$B$2&amp;"1日",0))))</f>
        <v/>
      </c>
      <c r="G46" s="34"/>
      <c r="H46" s="44" t="str">
        <f ca="1">IF(A46&lt;&gt;"",OFFSET('まとめ（登園）'!$B$1,MATCH(CSVフォーム!A46,'まとめ（登園）'!$B:$B,0)-1,MATCH(DAY(F46),'まとめ（登園）'!$2:$2,0)-2),"")</f>
        <v/>
      </c>
      <c r="I46" s="44" t="str">
        <f ca="1">IF(A46&lt;&gt;"",OFFSET('まとめ（降園）'!$B$1,MATCH(CSVフォーム!A46,'まとめ（降園）'!$B:$B,0)-1,MATCH(DAY(F46),'まとめ（降園）'!$2:$2,0)-2),"")</f>
        <v/>
      </c>
    </row>
    <row r="47" spans="1:9" ht="17.399999999999999" customHeight="1" x14ac:dyDescent="0.5">
      <c r="A47" s="33" t="str">
        <f t="array" ref="A47">IFERROR(INDEX('まとめ（登園）'!$B$3:$B$500,INT((ROW(A46)-1)/DAY(EOMONTH(貼り付け用!$B$2&amp;"1日",0)))+1)&amp;"","")</f>
        <v/>
      </c>
      <c r="B47" s="33" t="str">
        <f>IF(A47&lt;&gt;"",VLOOKUP(A47,子どもマスタ!$A$1:$F$301,2,FALSE),"")</f>
        <v/>
      </c>
      <c r="C47" s="34" t="str">
        <f>IF(A47&lt;&gt;"",
TEXT(VALUE(REPLACE(VLOOKUP(A47,子どもマスタ!$A$1:$F$301,5,FALSE),
FIND("(",VLOOKUP(A47,子どもマスタ!$A$1:$F$301,5,FALSE)),
FIND(")",VLOOKUP(A47,子どもマスタ!$A$1:$F$301,5,FALSE))
-FIND("(",VLOOKUP(A47,子どもマスタ!$A$1:$F$301,5,FALSE))+1,"")),"yyyy/mm/dd"),"")</f>
        <v/>
      </c>
      <c r="D47" s="35"/>
      <c r="E47" s="36"/>
      <c r="F47" s="34" t="str">
        <f>IF(A47="","",VALUE(貼り付け用!$B$2&amp;"1日")+MOD(ROW(A46)-1,DAY(EOMONTH(貼り付け用!$B$2&amp;"1日",0))))</f>
        <v/>
      </c>
      <c r="G47" s="34"/>
      <c r="H47" s="44" t="str">
        <f ca="1">IF(A47&lt;&gt;"",OFFSET('まとめ（登園）'!$B$1,MATCH(CSVフォーム!A47,'まとめ（登園）'!$B:$B,0)-1,MATCH(DAY(F47),'まとめ（登園）'!$2:$2,0)-2),"")</f>
        <v/>
      </c>
      <c r="I47" s="44" t="str">
        <f ca="1">IF(A47&lt;&gt;"",OFFSET('まとめ（降園）'!$B$1,MATCH(CSVフォーム!A47,'まとめ（降園）'!$B:$B,0)-1,MATCH(DAY(F47),'まとめ（降園）'!$2:$2,0)-2),"")</f>
        <v/>
      </c>
    </row>
    <row r="48" spans="1:9" ht="17.399999999999999" customHeight="1" x14ac:dyDescent="0.5">
      <c r="A48" s="33" t="str">
        <f t="array" ref="A48">IFERROR(INDEX('まとめ（登園）'!$B$3:$B$500,INT((ROW(A47)-1)/DAY(EOMONTH(貼り付け用!$B$2&amp;"1日",0)))+1)&amp;"","")</f>
        <v/>
      </c>
      <c r="B48" s="33" t="str">
        <f>IF(A48&lt;&gt;"",VLOOKUP(A48,子どもマスタ!$A$1:$F$301,2,FALSE),"")</f>
        <v/>
      </c>
      <c r="C48" s="34" t="str">
        <f>IF(A48&lt;&gt;"",
TEXT(VALUE(REPLACE(VLOOKUP(A48,子どもマスタ!$A$1:$F$301,5,FALSE),
FIND("(",VLOOKUP(A48,子どもマスタ!$A$1:$F$301,5,FALSE)),
FIND(")",VLOOKUP(A48,子どもマスタ!$A$1:$F$301,5,FALSE))
-FIND("(",VLOOKUP(A48,子どもマスタ!$A$1:$F$301,5,FALSE))+1,"")),"yyyy/mm/dd"),"")</f>
        <v/>
      </c>
      <c r="D48" s="35"/>
      <c r="E48" s="36"/>
      <c r="F48" s="34" t="str">
        <f>IF(A48="","",VALUE(貼り付け用!$B$2&amp;"1日")+MOD(ROW(A47)-1,DAY(EOMONTH(貼り付け用!$B$2&amp;"1日",0))))</f>
        <v/>
      </c>
      <c r="G48" s="34"/>
      <c r="H48" s="44" t="str">
        <f ca="1">IF(A48&lt;&gt;"",OFFSET('まとめ（登園）'!$B$1,MATCH(CSVフォーム!A48,'まとめ（登園）'!$B:$B,0)-1,MATCH(DAY(F48),'まとめ（登園）'!$2:$2,0)-2),"")</f>
        <v/>
      </c>
      <c r="I48" s="44" t="str">
        <f ca="1">IF(A48&lt;&gt;"",OFFSET('まとめ（降園）'!$B$1,MATCH(CSVフォーム!A48,'まとめ（降園）'!$B:$B,0)-1,MATCH(DAY(F48),'まとめ（降園）'!$2:$2,0)-2),"")</f>
        <v/>
      </c>
    </row>
    <row r="49" spans="1:9" ht="17.399999999999999" customHeight="1" x14ac:dyDescent="0.5">
      <c r="A49" s="33" t="str">
        <f t="array" ref="A49">IFERROR(INDEX('まとめ（登園）'!$B$3:$B$500,INT((ROW(A48)-1)/DAY(EOMONTH(貼り付け用!$B$2&amp;"1日",0)))+1)&amp;"","")</f>
        <v/>
      </c>
      <c r="B49" s="33" t="str">
        <f>IF(A49&lt;&gt;"",VLOOKUP(A49,子どもマスタ!$A$1:$F$301,2,FALSE),"")</f>
        <v/>
      </c>
      <c r="C49" s="34" t="str">
        <f>IF(A49&lt;&gt;"",
TEXT(VALUE(REPLACE(VLOOKUP(A49,子どもマスタ!$A$1:$F$301,5,FALSE),
FIND("(",VLOOKUP(A49,子どもマスタ!$A$1:$F$301,5,FALSE)),
FIND(")",VLOOKUP(A49,子どもマスタ!$A$1:$F$301,5,FALSE))
-FIND("(",VLOOKUP(A49,子どもマスタ!$A$1:$F$301,5,FALSE))+1,"")),"yyyy/mm/dd"),"")</f>
        <v/>
      </c>
      <c r="D49" s="35"/>
      <c r="E49" s="36"/>
      <c r="F49" s="34" t="str">
        <f>IF(A49="","",VALUE(貼り付け用!$B$2&amp;"1日")+MOD(ROW(A48)-1,DAY(EOMONTH(貼り付け用!$B$2&amp;"1日",0))))</f>
        <v/>
      </c>
      <c r="G49" s="34"/>
      <c r="H49" s="44" t="str">
        <f ca="1">IF(A49&lt;&gt;"",OFFSET('まとめ（登園）'!$B$1,MATCH(CSVフォーム!A49,'まとめ（登園）'!$B:$B,0)-1,MATCH(DAY(F49),'まとめ（登園）'!$2:$2,0)-2),"")</f>
        <v/>
      </c>
      <c r="I49" s="44" t="str">
        <f ca="1">IF(A49&lt;&gt;"",OFFSET('まとめ（降園）'!$B$1,MATCH(CSVフォーム!A49,'まとめ（降園）'!$B:$B,0)-1,MATCH(DAY(F49),'まとめ（降園）'!$2:$2,0)-2),"")</f>
        <v/>
      </c>
    </row>
    <row r="50" spans="1:9" ht="17.399999999999999" customHeight="1" x14ac:dyDescent="0.5">
      <c r="A50" s="33" t="str">
        <f t="array" ref="A50">IFERROR(INDEX('まとめ（登園）'!$B$3:$B$500,INT((ROW(A49)-1)/DAY(EOMONTH(貼り付け用!$B$2&amp;"1日",0)))+1)&amp;"","")</f>
        <v/>
      </c>
      <c r="B50" s="33" t="str">
        <f>IF(A50&lt;&gt;"",VLOOKUP(A50,子どもマスタ!$A$1:$F$301,2,FALSE),"")</f>
        <v/>
      </c>
      <c r="C50" s="34" t="str">
        <f>IF(A50&lt;&gt;"",
TEXT(VALUE(REPLACE(VLOOKUP(A50,子どもマスタ!$A$1:$F$301,5,FALSE),
FIND("(",VLOOKUP(A50,子どもマスタ!$A$1:$F$301,5,FALSE)),
FIND(")",VLOOKUP(A50,子どもマスタ!$A$1:$F$301,5,FALSE))
-FIND("(",VLOOKUP(A50,子どもマスタ!$A$1:$F$301,5,FALSE))+1,"")),"yyyy/mm/dd"),"")</f>
        <v/>
      </c>
      <c r="D50" s="35"/>
      <c r="E50" s="36"/>
      <c r="F50" s="34" t="str">
        <f>IF(A50="","",VALUE(貼り付け用!$B$2&amp;"1日")+MOD(ROW(A49)-1,DAY(EOMONTH(貼り付け用!$B$2&amp;"1日",0))))</f>
        <v/>
      </c>
      <c r="G50" s="34"/>
      <c r="H50" s="44" t="str">
        <f ca="1">IF(A50&lt;&gt;"",OFFSET('まとめ（登園）'!$B$1,MATCH(CSVフォーム!A50,'まとめ（登園）'!$B:$B,0)-1,MATCH(DAY(F50),'まとめ（登園）'!$2:$2,0)-2),"")</f>
        <v/>
      </c>
      <c r="I50" s="44" t="str">
        <f ca="1">IF(A50&lt;&gt;"",OFFSET('まとめ（降園）'!$B$1,MATCH(CSVフォーム!A50,'まとめ（降園）'!$B:$B,0)-1,MATCH(DAY(F50),'まとめ（降園）'!$2:$2,0)-2),"")</f>
        <v/>
      </c>
    </row>
    <row r="51" spans="1:9" ht="17.399999999999999" customHeight="1" x14ac:dyDescent="0.5">
      <c r="A51" s="33" t="str">
        <f t="array" ref="A51">IFERROR(INDEX('まとめ（登園）'!$B$3:$B$500,INT((ROW(A50)-1)/DAY(EOMONTH(貼り付け用!$B$2&amp;"1日",0)))+1)&amp;"","")</f>
        <v/>
      </c>
      <c r="B51" s="33" t="str">
        <f>IF(A51&lt;&gt;"",VLOOKUP(A51,子どもマスタ!$A$1:$F$301,2,FALSE),"")</f>
        <v/>
      </c>
      <c r="C51" s="34" t="str">
        <f>IF(A51&lt;&gt;"",
TEXT(VALUE(REPLACE(VLOOKUP(A51,子どもマスタ!$A$1:$F$301,5,FALSE),
FIND("(",VLOOKUP(A51,子どもマスタ!$A$1:$F$301,5,FALSE)),
FIND(")",VLOOKUP(A51,子どもマスタ!$A$1:$F$301,5,FALSE))
-FIND("(",VLOOKUP(A51,子どもマスタ!$A$1:$F$301,5,FALSE))+1,"")),"yyyy/mm/dd"),"")</f>
        <v/>
      </c>
      <c r="D51" s="35"/>
      <c r="E51" s="36"/>
      <c r="F51" s="34" t="str">
        <f>IF(A51="","",VALUE(貼り付け用!$B$2&amp;"1日")+MOD(ROW(A50)-1,DAY(EOMONTH(貼り付け用!$B$2&amp;"1日",0))))</f>
        <v/>
      </c>
      <c r="G51" s="34"/>
      <c r="H51" s="44" t="str">
        <f ca="1">IF(A51&lt;&gt;"",OFFSET('まとめ（登園）'!$B$1,MATCH(CSVフォーム!A51,'まとめ（登園）'!$B:$B,0)-1,MATCH(DAY(F51),'まとめ（登園）'!$2:$2,0)-2),"")</f>
        <v/>
      </c>
      <c r="I51" s="44" t="str">
        <f ca="1">IF(A51&lt;&gt;"",OFFSET('まとめ（降園）'!$B$1,MATCH(CSVフォーム!A51,'まとめ（降園）'!$B:$B,0)-1,MATCH(DAY(F51),'まとめ（降園）'!$2:$2,0)-2),"")</f>
        <v/>
      </c>
    </row>
    <row r="52" spans="1:9" ht="17.399999999999999" customHeight="1" x14ac:dyDescent="0.5">
      <c r="A52" s="33" t="str">
        <f t="array" ref="A52">IFERROR(INDEX('まとめ（登園）'!$B$3:$B$500,INT((ROW(A51)-1)/DAY(EOMONTH(貼り付け用!$B$2&amp;"1日",0)))+1)&amp;"","")</f>
        <v/>
      </c>
      <c r="B52" s="33" t="str">
        <f>IF(A52&lt;&gt;"",VLOOKUP(A52,子どもマスタ!$A$1:$F$301,2,FALSE),"")</f>
        <v/>
      </c>
      <c r="C52" s="34" t="str">
        <f>IF(A52&lt;&gt;"",
TEXT(VALUE(REPLACE(VLOOKUP(A52,子どもマスタ!$A$1:$F$301,5,FALSE),
FIND("(",VLOOKUP(A52,子どもマスタ!$A$1:$F$301,5,FALSE)),
FIND(")",VLOOKUP(A52,子どもマスタ!$A$1:$F$301,5,FALSE))
-FIND("(",VLOOKUP(A52,子どもマスタ!$A$1:$F$301,5,FALSE))+1,"")),"yyyy/mm/dd"),"")</f>
        <v/>
      </c>
      <c r="D52" s="35"/>
      <c r="E52" s="36"/>
      <c r="F52" s="34" t="str">
        <f>IF(A52="","",VALUE(貼り付け用!$B$2&amp;"1日")+MOD(ROW(A51)-1,DAY(EOMONTH(貼り付け用!$B$2&amp;"1日",0))))</f>
        <v/>
      </c>
      <c r="G52" s="34"/>
      <c r="H52" s="44" t="str">
        <f ca="1">IF(A52&lt;&gt;"",OFFSET('まとめ（登園）'!$B$1,MATCH(CSVフォーム!A52,'まとめ（登園）'!$B:$B,0)-1,MATCH(DAY(F52),'まとめ（登園）'!$2:$2,0)-2),"")</f>
        <v/>
      </c>
      <c r="I52" s="44" t="str">
        <f ca="1">IF(A52&lt;&gt;"",OFFSET('まとめ（降園）'!$B$1,MATCH(CSVフォーム!A52,'まとめ（降園）'!$B:$B,0)-1,MATCH(DAY(F52),'まとめ（降園）'!$2:$2,0)-2),"")</f>
        <v/>
      </c>
    </row>
    <row r="53" spans="1:9" ht="17.399999999999999" customHeight="1" x14ac:dyDescent="0.5">
      <c r="A53" s="33" t="str">
        <f t="array" ref="A53">IFERROR(INDEX('まとめ（登園）'!$B$3:$B$500,INT((ROW(A52)-1)/DAY(EOMONTH(貼り付け用!$B$2&amp;"1日",0)))+1)&amp;"","")</f>
        <v/>
      </c>
      <c r="B53" s="33" t="str">
        <f>IF(A53&lt;&gt;"",VLOOKUP(A53,子どもマスタ!$A$1:$F$301,2,FALSE),"")</f>
        <v/>
      </c>
      <c r="C53" s="34" t="str">
        <f>IF(A53&lt;&gt;"",
TEXT(VALUE(REPLACE(VLOOKUP(A53,子どもマスタ!$A$1:$F$301,5,FALSE),
FIND("(",VLOOKUP(A53,子どもマスタ!$A$1:$F$301,5,FALSE)),
FIND(")",VLOOKUP(A53,子どもマスタ!$A$1:$F$301,5,FALSE))
-FIND("(",VLOOKUP(A53,子どもマスタ!$A$1:$F$301,5,FALSE))+1,"")),"yyyy/mm/dd"),"")</f>
        <v/>
      </c>
      <c r="D53" s="35"/>
      <c r="E53" s="36"/>
      <c r="F53" s="34" t="str">
        <f>IF(A53="","",VALUE(貼り付け用!$B$2&amp;"1日")+MOD(ROW(A52)-1,DAY(EOMONTH(貼り付け用!$B$2&amp;"1日",0))))</f>
        <v/>
      </c>
      <c r="G53" s="34"/>
      <c r="H53" s="44" t="str">
        <f ca="1">IF(A53&lt;&gt;"",OFFSET('まとめ（登園）'!$B$1,MATCH(CSVフォーム!A53,'まとめ（登園）'!$B:$B,0)-1,MATCH(DAY(F53),'まとめ（登園）'!$2:$2,0)-2),"")</f>
        <v/>
      </c>
      <c r="I53" s="44" t="str">
        <f ca="1">IF(A53&lt;&gt;"",OFFSET('まとめ（降園）'!$B$1,MATCH(CSVフォーム!A53,'まとめ（降園）'!$B:$B,0)-1,MATCH(DAY(F53),'まとめ（降園）'!$2:$2,0)-2),"")</f>
        <v/>
      </c>
    </row>
    <row r="54" spans="1:9" ht="17.399999999999999" customHeight="1" x14ac:dyDescent="0.5">
      <c r="A54" s="33" t="str">
        <f t="array" ref="A54">IFERROR(INDEX('まとめ（登園）'!$B$3:$B$500,INT((ROW(A53)-1)/DAY(EOMONTH(貼り付け用!$B$2&amp;"1日",0)))+1)&amp;"","")</f>
        <v/>
      </c>
      <c r="B54" s="33" t="str">
        <f>IF(A54&lt;&gt;"",VLOOKUP(A54,子どもマスタ!$A$1:$F$301,2,FALSE),"")</f>
        <v/>
      </c>
      <c r="C54" s="34" t="str">
        <f>IF(A54&lt;&gt;"",
TEXT(VALUE(REPLACE(VLOOKUP(A54,子どもマスタ!$A$1:$F$301,5,FALSE),
FIND("(",VLOOKUP(A54,子どもマスタ!$A$1:$F$301,5,FALSE)),
FIND(")",VLOOKUP(A54,子どもマスタ!$A$1:$F$301,5,FALSE))
-FIND("(",VLOOKUP(A54,子どもマスタ!$A$1:$F$301,5,FALSE))+1,"")),"yyyy/mm/dd"),"")</f>
        <v/>
      </c>
      <c r="D54" s="35"/>
      <c r="E54" s="36"/>
      <c r="F54" s="34" t="str">
        <f>IF(A54="","",VALUE(貼り付け用!$B$2&amp;"1日")+MOD(ROW(A53)-1,DAY(EOMONTH(貼り付け用!$B$2&amp;"1日",0))))</f>
        <v/>
      </c>
      <c r="G54" s="34"/>
      <c r="H54" s="44" t="str">
        <f ca="1">IF(A54&lt;&gt;"",OFFSET('まとめ（登園）'!$B$1,MATCH(CSVフォーム!A54,'まとめ（登園）'!$B:$B,0)-1,MATCH(DAY(F54),'まとめ（登園）'!$2:$2,0)-2),"")</f>
        <v/>
      </c>
      <c r="I54" s="44" t="str">
        <f ca="1">IF(A54&lt;&gt;"",OFFSET('まとめ（降園）'!$B$1,MATCH(CSVフォーム!A54,'まとめ（降園）'!$B:$B,0)-1,MATCH(DAY(F54),'まとめ（降園）'!$2:$2,0)-2),"")</f>
        <v/>
      </c>
    </row>
    <row r="55" spans="1:9" ht="17.399999999999999" customHeight="1" x14ac:dyDescent="0.5">
      <c r="A55" s="33" t="str">
        <f t="array" ref="A55">IFERROR(INDEX('まとめ（登園）'!$B$3:$B$500,INT((ROW(A54)-1)/DAY(EOMONTH(貼り付け用!$B$2&amp;"1日",0)))+1)&amp;"","")</f>
        <v/>
      </c>
      <c r="B55" s="33" t="str">
        <f>IF(A55&lt;&gt;"",VLOOKUP(A55,子どもマスタ!$A$1:$F$301,2,FALSE),"")</f>
        <v/>
      </c>
      <c r="C55" s="34" t="str">
        <f>IF(A55&lt;&gt;"",
TEXT(VALUE(REPLACE(VLOOKUP(A55,子どもマスタ!$A$1:$F$301,5,FALSE),
FIND("(",VLOOKUP(A55,子どもマスタ!$A$1:$F$301,5,FALSE)),
FIND(")",VLOOKUP(A55,子どもマスタ!$A$1:$F$301,5,FALSE))
-FIND("(",VLOOKUP(A55,子どもマスタ!$A$1:$F$301,5,FALSE))+1,"")),"yyyy/mm/dd"),"")</f>
        <v/>
      </c>
      <c r="D55" s="35"/>
      <c r="E55" s="36"/>
      <c r="F55" s="34" t="str">
        <f>IF(A55="","",VALUE(貼り付け用!$B$2&amp;"1日")+MOD(ROW(A54)-1,DAY(EOMONTH(貼り付け用!$B$2&amp;"1日",0))))</f>
        <v/>
      </c>
      <c r="G55" s="34"/>
      <c r="H55" s="44" t="str">
        <f ca="1">IF(A55&lt;&gt;"",OFFSET('まとめ（登園）'!$B$1,MATCH(CSVフォーム!A55,'まとめ（登園）'!$B:$B,0)-1,MATCH(DAY(F55),'まとめ（登園）'!$2:$2,0)-2),"")</f>
        <v/>
      </c>
      <c r="I55" s="44" t="str">
        <f ca="1">IF(A55&lt;&gt;"",OFFSET('まとめ（降園）'!$B$1,MATCH(CSVフォーム!A55,'まとめ（降園）'!$B:$B,0)-1,MATCH(DAY(F55),'まとめ（降園）'!$2:$2,0)-2),"")</f>
        <v/>
      </c>
    </row>
    <row r="56" spans="1:9" ht="17.399999999999999" customHeight="1" x14ac:dyDescent="0.5">
      <c r="A56" s="33" t="str">
        <f t="array" ref="A56">IFERROR(INDEX('まとめ（登園）'!$B$3:$B$500,INT((ROW(A55)-1)/DAY(EOMONTH(貼り付け用!$B$2&amp;"1日",0)))+1)&amp;"","")</f>
        <v/>
      </c>
      <c r="B56" s="33" t="str">
        <f>IF(A56&lt;&gt;"",VLOOKUP(A56,子どもマスタ!$A$1:$F$301,2,FALSE),"")</f>
        <v/>
      </c>
      <c r="C56" s="34" t="str">
        <f>IF(A56&lt;&gt;"",
TEXT(VALUE(REPLACE(VLOOKUP(A56,子どもマスタ!$A$1:$F$301,5,FALSE),
FIND("(",VLOOKUP(A56,子どもマスタ!$A$1:$F$301,5,FALSE)),
FIND(")",VLOOKUP(A56,子どもマスタ!$A$1:$F$301,5,FALSE))
-FIND("(",VLOOKUP(A56,子どもマスタ!$A$1:$F$301,5,FALSE))+1,"")),"yyyy/mm/dd"),"")</f>
        <v/>
      </c>
      <c r="D56" s="35"/>
      <c r="E56" s="36"/>
      <c r="F56" s="34" t="str">
        <f>IF(A56="","",VALUE(貼り付け用!$B$2&amp;"1日")+MOD(ROW(A55)-1,DAY(EOMONTH(貼り付け用!$B$2&amp;"1日",0))))</f>
        <v/>
      </c>
      <c r="G56" s="34"/>
      <c r="H56" s="44" t="str">
        <f ca="1">IF(A56&lt;&gt;"",OFFSET('まとめ（登園）'!$B$1,MATCH(CSVフォーム!A56,'まとめ（登園）'!$B:$B,0)-1,MATCH(DAY(F56),'まとめ（登園）'!$2:$2,0)-2),"")</f>
        <v/>
      </c>
      <c r="I56" s="44" t="str">
        <f ca="1">IF(A56&lt;&gt;"",OFFSET('まとめ（降園）'!$B$1,MATCH(CSVフォーム!A56,'まとめ（降園）'!$B:$B,0)-1,MATCH(DAY(F56),'まとめ（降園）'!$2:$2,0)-2),"")</f>
        <v/>
      </c>
    </row>
    <row r="57" spans="1:9" ht="17.399999999999999" customHeight="1" x14ac:dyDescent="0.5">
      <c r="A57" s="33" t="str">
        <f t="array" ref="A57">IFERROR(INDEX('まとめ（登園）'!$B$3:$B$500,INT((ROW(A56)-1)/DAY(EOMONTH(貼り付け用!$B$2&amp;"1日",0)))+1)&amp;"","")</f>
        <v/>
      </c>
      <c r="B57" s="33" t="str">
        <f>IF(A57&lt;&gt;"",VLOOKUP(A57,子どもマスタ!$A$1:$F$301,2,FALSE),"")</f>
        <v/>
      </c>
      <c r="C57" s="34" t="str">
        <f>IF(A57&lt;&gt;"",
TEXT(VALUE(REPLACE(VLOOKUP(A57,子どもマスタ!$A$1:$F$301,5,FALSE),
FIND("(",VLOOKUP(A57,子どもマスタ!$A$1:$F$301,5,FALSE)),
FIND(")",VLOOKUP(A57,子どもマスタ!$A$1:$F$301,5,FALSE))
-FIND("(",VLOOKUP(A57,子どもマスタ!$A$1:$F$301,5,FALSE))+1,"")),"yyyy/mm/dd"),"")</f>
        <v/>
      </c>
      <c r="D57" s="35"/>
      <c r="E57" s="36"/>
      <c r="F57" s="34" t="str">
        <f>IF(A57="","",VALUE(貼り付け用!$B$2&amp;"1日")+MOD(ROW(A56)-1,DAY(EOMONTH(貼り付け用!$B$2&amp;"1日",0))))</f>
        <v/>
      </c>
      <c r="G57" s="34"/>
      <c r="H57" s="44" t="str">
        <f ca="1">IF(A57&lt;&gt;"",OFFSET('まとめ（登園）'!$B$1,MATCH(CSVフォーム!A57,'まとめ（登園）'!$B:$B,0)-1,MATCH(DAY(F57),'まとめ（登園）'!$2:$2,0)-2),"")</f>
        <v/>
      </c>
      <c r="I57" s="44" t="str">
        <f ca="1">IF(A57&lt;&gt;"",OFFSET('まとめ（降園）'!$B$1,MATCH(CSVフォーム!A57,'まとめ（降園）'!$B:$B,0)-1,MATCH(DAY(F57),'まとめ（降園）'!$2:$2,0)-2),"")</f>
        <v/>
      </c>
    </row>
    <row r="58" spans="1:9" ht="17.399999999999999" customHeight="1" x14ac:dyDescent="0.5">
      <c r="A58" s="33" t="str">
        <f t="array" ref="A58">IFERROR(INDEX('まとめ（登園）'!$B$3:$B$500,INT((ROW(A57)-1)/DAY(EOMONTH(貼り付け用!$B$2&amp;"1日",0)))+1)&amp;"","")</f>
        <v/>
      </c>
      <c r="B58" s="33" t="str">
        <f>IF(A58&lt;&gt;"",VLOOKUP(A58,子どもマスタ!$A$1:$F$301,2,FALSE),"")</f>
        <v/>
      </c>
      <c r="C58" s="34" t="str">
        <f>IF(A58&lt;&gt;"",
TEXT(VALUE(REPLACE(VLOOKUP(A58,子どもマスタ!$A$1:$F$301,5,FALSE),
FIND("(",VLOOKUP(A58,子どもマスタ!$A$1:$F$301,5,FALSE)),
FIND(")",VLOOKUP(A58,子どもマスタ!$A$1:$F$301,5,FALSE))
-FIND("(",VLOOKUP(A58,子どもマスタ!$A$1:$F$301,5,FALSE))+1,"")),"yyyy/mm/dd"),"")</f>
        <v/>
      </c>
      <c r="D58" s="35"/>
      <c r="E58" s="36"/>
      <c r="F58" s="34" t="str">
        <f>IF(A58="","",VALUE(貼り付け用!$B$2&amp;"1日")+MOD(ROW(A57)-1,DAY(EOMONTH(貼り付け用!$B$2&amp;"1日",0))))</f>
        <v/>
      </c>
      <c r="G58" s="34"/>
      <c r="H58" s="44" t="str">
        <f ca="1">IF(A58&lt;&gt;"",OFFSET('まとめ（登園）'!$B$1,MATCH(CSVフォーム!A58,'まとめ（登園）'!$B:$B,0)-1,MATCH(DAY(F58),'まとめ（登園）'!$2:$2,0)-2),"")</f>
        <v/>
      </c>
      <c r="I58" s="44" t="str">
        <f ca="1">IF(A58&lt;&gt;"",OFFSET('まとめ（降園）'!$B$1,MATCH(CSVフォーム!A58,'まとめ（降園）'!$B:$B,0)-1,MATCH(DAY(F58),'まとめ（降園）'!$2:$2,0)-2),"")</f>
        <v/>
      </c>
    </row>
    <row r="59" spans="1:9" ht="17.399999999999999" customHeight="1" x14ac:dyDescent="0.5">
      <c r="A59" s="33" t="str">
        <f t="array" ref="A59">IFERROR(INDEX('まとめ（登園）'!$B$3:$B$500,INT((ROW(A58)-1)/DAY(EOMONTH(貼り付け用!$B$2&amp;"1日",0)))+1)&amp;"","")</f>
        <v/>
      </c>
      <c r="B59" s="33" t="str">
        <f>IF(A59&lt;&gt;"",VLOOKUP(A59,子どもマスタ!$A$1:$F$301,2,FALSE),"")</f>
        <v/>
      </c>
      <c r="C59" s="34" t="str">
        <f>IF(A59&lt;&gt;"",
TEXT(VALUE(REPLACE(VLOOKUP(A59,子どもマスタ!$A$1:$F$301,5,FALSE),
FIND("(",VLOOKUP(A59,子どもマスタ!$A$1:$F$301,5,FALSE)),
FIND(")",VLOOKUP(A59,子どもマスタ!$A$1:$F$301,5,FALSE))
-FIND("(",VLOOKUP(A59,子どもマスタ!$A$1:$F$301,5,FALSE))+1,"")),"yyyy/mm/dd"),"")</f>
        <v/>
      </c>
      <c r="D59" s="35"/>
      <c r="E59" s="36"/>
      <c r="F59" s="34" t="str">
        <f>IF(A59="","",VALUE(貼り付け用!$B$2&amp;"1日")+MOD(ROW(A58)-1,DAY(EOMONTH(貼り付け用!$B$2&amp;"1日",0))))</f>
        <v/>
      </c>
      <c r="G59" s="34"/>
      <c r="H59" s="44" t="str">
        <f ca="1">IF(A59&lt;&gt;"",OFFSET('まとめ（登園）'!$B$1,MATCH(CSVフォーム!A59,'まとめ（登園）'!$B:$B,0)-1,MATCH(DAY(F59),'まとめ（登園）'!$2:$2,0)-2),"")</f>
        <v/>
      </c>
      <c r="I59" s="44" t="str">
        <f ca="1">IF(A59&lt;&gt;"",OFFSET('まとめ（降園）'!$B$1,MATCH(CSVフォーム!A59,'まとめ（降園）'!$B:$B,0)-1,MATCH(DAY(F59),'まとめ（降園）'!$2:$2,0)-2),"")</f>
        <v/>
      </c>
    </row>
    <row r="60" spans="1:9" ht="17.399999999999999" customHeight="1" x14ac:dyDescent="0.5">
      <c r="A60" s="33" t="str">
        <f t="array" ref="A60">IFERROR(INDEX('まとめ（登園）'!$B$3:$B$500,INT((ROW(A59)-1)/DAY(EOMONTH(貼り付け用!$B$2&amp;"1日",0)))+1)&amp;"","")</f>
        <v/>
      </c>
      <c r="B60" s="33" t="str">
        <f>IF(A60&lt;&gt;"",VLOOKUP(A60,子どもマスタ!$A$1:$F$301,2,FALSE),"")</f>
        <v/>
      </c>
      <c r="C60" s="34" t="str">
        <f>IF(A60&lt;&gt;"",
TEXT(VALUE(REPLACE(VLOOKUP(A60,子どもマスタ!$A$1:$F$301,5,FALSE),
FIND("(",VLOOKUP(A60,子どもマスタ!$A$1:$F$301,5,FALSE)),
FIND(")",VLOOKUP(A60,子どもマスタ!$A$1:$F$301,5,FALSE))
-FIND("(",VLOOKUP(A60,子どもマスタ!$A$1:$F$301,5,FALSE))+1,"")),"yyyy/mm/dd"),"")</f>
        <v/>
      </c>
      <c r="D60" s="35"/>
      <c r="E60" s="36"/>
      <c r="F60" s="34" t="str">
        <f>IF(A60="","",VALUE(貼り付け用!$B$2&amp;"1日")+MOD(ROW(A59)-1,DAY(EOMONTH(貼り付け用!$B$2&amp;"1日",0))))</f>
        <v/>
      </c>
      <c r="G60" s="34"/>
      <c r="H60" s="44" t="str">
        <f ca="1">IF(A60&lt;&gt;"",OFFSET('まとめ（登園）'!$B$1,MATCH(CSVフォーム!A60,'まとめ（登園）'!$B:$B,0)-1,MATCH(DAY(F60),'まとめ（登園）'!$2:$2,0)-2),"")</f>
        <v/>
      </c>
      <c r="I60" s="44" t="str">
        <f ca="1">IF(A60&lt;&gt;"",OFFSET('まとめ（降園）'!$B$1,MATCH(CSVフォーム!A60,'まとめ（降園）'!$B:$B,0)-1,MATCH(DAY(F60),'まとめ（降園）'!$2:$2,0)-2),"")</f>
        <v/>
      </c>
    </row>
    <row r="61" spans="1:9" ht="17.399999999999999" customHeight="1" x14ac:dyDescent="0.5">
      <c r="A61" s="33" t="str">
        <f t="array" ref="A61">IFERROR(INDEX('まとめ（登園）'!$B$3:$B$500,INT((ROW(A60)-1)/DAY(EOMONTH(貼り付け用!$B$2&amp;"1日",0)))+1)&amp;"","")</f>
        <v/>
      </c>
      <c r="B61" s="33" t="str">
        <f>IF(A61&lt;&gt;"",VLOOKUP(A61,子どもマスタ!$A$1:$F$301,2,FALSE),"")</f>
        <v/>
      </c>
      <c r="C61" s="34" t="str">
        <f>IF(A61&lt;&gt;"",
TEXT(VALUE(REPLACE(VLOOKUP(A61,子どもマスタ!$A$1:$F$301,5,FALSE),
FIND("(",VLOOKUP(A61,子どもマスタ!$A$1:$F$301,5,FALSE)),
FIND(")",VLOOKUP(A61,子どもマスタ!$A$1:$F$301,5,FALSE))
-FIND("(",VLOOKUP(A61,子どもマスタ!$A$1:$F$301,5,FALSE))+1,"")),"yyyy/mm/dd"),"")</f>
        <v/>
      </c>
      <c r="D61" s="35"/>
      <c r="E61" s="36"/>
      <c r="F61" s="34" t="str">
        <f>IF(A61="","",VALUE(貼り付け用!$B$2&amp;"1日")+MOD(ROW(A60)-1,DAY(EOMONTH(貼り付け用!$B$2&amp;"1日",0))))</f>
        <v/>
      </c>
      <c r="G61" s="34"/>
      <c r="H61" s="44" t="str">
        <f ca="1">IF(A61&lt;&gt;"",OFFSET('まとめ（登園）'!$B$1,MATCH(CSVフォーム!A61,'まとめ（登園）'!$B:$B,0)-1,MATCH(DAY(F61),'まとめ（登園）'!$2:$2,0)-2),"")</f>
        <v/>
      </c>
      <c r="I61" s="44" t="str">
        <f ca="1">IF(A61&lt;&gt;"",OFFSET('まとめ（降園）'!$B$1,MATCH(CSVフォーム!A61,'まとめ（降園）'!$B:$B,0)-1,MATCH(DAY(F61),'まとめ（降園）'!$2:$2,0)-2),"")</f>
        <v/>
      </c>
    </row>
    <row r="62" spans="1:9" ht="17.399999999999999" customHeight="1" x14ac:dyDescent="0.5">
      <c r="A62" s="33" t="str">
        <f t="array" ref="A62">IFERROR(INDEX('まとめ（登園）'!$B$3:$B$500,INT((ROW(A61)-1)/DAY(EOMONTH(貼り付け用!$B$2&amp;"1日",0)))+1)&amp;"","")</f>
        <v/>
      </c>
      <c r="B62" s="33" t="str">
        <f>IF(A62&lt;&gt;"",VLOOKUP(A62,子どもマスタ!$A$1:$F$301,2,FALSE),"")</f>
        <v/>
      </c>
      <c r="C62" s="34" t="str">
        <f>IF(A62&lt;&gt;"",
TEXT(VALUE(REPLACE(VLOOKUP(A62,子どもマスタ!$A$1:$F$301,5,FALSE),
FIND("(",VLOOKUP(A62,子どもマスタ!$A$1:$F$301,5,FALSE)),
FIND(")",VLOOKUP(A62,子どもマスタ!$A$1:$F$301,5,FALSE))
-FIND("(",VLOOKUP(A62,子どもマスタ!$A$1:$F$301,5,FALSE))+1,"")),"yyyy/mm/dd"),"")</f>
        <v/>
      </c>
      <c r="D62" s="35"/>
      <c r="E62" s="36"/>
      <c r="F62" s="34" t="str">
        <f>IF(A62="","",VALUE(貼り付け用!$B$2&amp;"1日")+MOD(ROW(A61)-1,DAY(EOMONTH(貼り付け用!$B$2&amp;"1日",0))))</f>
        <v/>
      </c>
      <c r="G62" s="34"/>
      <c r="H62" s="44" t="str">
        <f ca="1">IF(A62&lt;&gt;"",OFFSET('まとめ（登園）'!$B$1,MATCH(CSVフォーム!A62,'まとめ（登園）'!$B:$B,0)-1,MATCH(DAY(F62),'まとめ（登園）'!$2:$2,0)-2),"")</f>
        <v/>
      </c>
      <c r="I62" s="44" t="str">
        <f ca="1">IF(A62&lt;&gt;"",OFFSET('まとめ（降園）'!$B$1,MATCH(CSVフォーム!A62,'まとめ（降園）'!$B:$B,0)-1,MATCH(DAY(F62),'まとめ（降園）'!$2:$2,0)-2),"")</f>
        <v/>
      </c>
    </row>
    <row r="63" spans="1:9" ht="17.399999999999999" customHeight="1" x14ac:dyDescent="0.5">
      <c r="A63" s="33" t="str">
        <f t="array" ref="A63">IFERROR(INDEX('まとめ（登園）'!$B$3:$B$500,INT((ROW(A62)-1)/DAY(EOMONTH(貼り付け用!$B$2&amp;"1日",0)))+1)&amp;"","")</f>
        <v/>
      </c>
      <c r="B63" s="33" t="str">
        <f>IF(A63&lt;&gt;"",VLOOKUP(A63,子どもマスタ!$A$1:$F$301,2,FALSE),"")</f>
        <v/>
      </c>
      <c r="C63" s="34" t="str">
        <f>IF(A63&lt;&gt;"",
TEXT(VALUE(REPLACE(VLOOKUP(A63,子どもマスタ!$A$1:$F$301,5,FALSE),
FIND("(",VLOOKUP(A63,子どもマスタ!$A$1:$F$301,5,FALSE)),
FIND(")",VLOOKUP(A63,子どもマスタ!$A$1:$F$301,5,FALSE))
-FIND("(",VLOOKUP(A63,子どもマスタ!$A$1:$F$301,5,FALSE))+1,"")),"yyyy/mm/dd"),"")</f>
        <v/>
      </c>
      <c r="D63" s="35"/>
      <c r="E63" s="36"/>
      <c r="F63" s="34" t="str">
        <f>IF(A63="","",VALUE(貼り付け用!$B$2&amp;"1日")+MOD(ROW(A62)-1,DAY(EOMONTH(貼り付け用!$B$2&amp;"1日",0))))</f>
        <v/>
      </c>
      <c r="G63" s="34"/>
      <c r="H63" s="44" t="str">
        <f ca="1">IF(A63&lt;&gt;"",OFFSET('まとめ（登園）'!$B$1,MATCH(CSVフォーム!A63,'まとめ（登園）'!$B:$B,0)-1,MATCH(DAY(F63),'まとめ（登園）'!$2:$2,0)-2),"")</f>
        <v/>
      </c>
      <c r="I63" s="44" t="str">
        <f ca="1">IF(A63&lt;&gt;"",OFFSET('まとめ（降園）'!$B$1,MATCH(CSVフォーム!A63,'まとめ（降園）'!$B:$B,0)-1,MATCH(DAY(F63),'まとめ（降園）'!$2:$2,0)-2),"")</f>
        <v/>
      </c>
    </row>
    <row r="64" spans="1:9" ht="17.399999999999999" customHeight="1" x14ac:dyDescent="0.5">
      <c r="A64" s="33" t="str">
        <f t="array" ref="A64">IFERROR(INDEX('まとめ（登園）'!$B$3:$B$500,INT((ROW(A63)-1)/DAY(EOMONTH(貼り付け用!$B$2&amp;"1日",0)))+1)&amp;"","")</f>
        <v/>
      </c>
      <c r="B64" s="33" t="str">
        <f>IF(A64&lt;&gt;"",VLOOKUP(A64,子どもマスタ!$A$1:$F$301,2,FALSE),"")</f>
        <v/>
      </c>
      <c r="C64" s="34" t="str">
        <f>IF(A64&lt;&gt;"",
TEXT(VALUE(REPLACE(VLOOKUP(A64,子どもマスタ!$A$1:$F$301,5,FALSE),
FIND("(",VLOOKUP(A64,子どもマスタ!$A$1:$F$301,5,FALSE)),
FIND(")",VLOOKUP(A64,子どもマスタ!$A$1:$F$301,5,FALSE))
-FIND("(",VLOOKUP(A64,子どもマスタ!$A$1:$F$301,5,FALSE))+1,"")),"yyyy/mm/dd"),"")</f>
        <v/>
      </c>
      <c r="D64" s="35"/>
      <c r="E64" s="36"/>
      <c r="F64" s="34" t="str">
        <f>IF(A64="","",VALUE(貼り付け用!$B$2&amp;"1日")+MOD(ROW(A63)-1,DAY(EOMONTH(貼り付け用!$B$2&amp;"1日",0))))</f>
        <v/>
      </c>
      <c r="G64" s="34"/>
      <c r="H64" s="44" t="str">
        <f ca="1">IF(A64&lt;&gt;"",OFFSET('まとめ（登園）'!$B$1,MATCH(CSVフォーム!A64,'まとめ（登園）'!$B:$B,0)-1,MATCH(DAY(F64),'まとめ（登園）'!$2:$2,0)-2),"")</f>
        <v/>
      </c>
      <c r="I64" s="44" t="str">
        <f ca="1">IF(A64&lt;&gt;"",OFFSET('まとめ（降園）'!$B$1,MATCH(CSVフォーム!A64,'まとめ（降園）'!$B:$B,0)-1,MATCH(DAY(F64),'まとめ（降園）'!$2:$2,0)-2),"")</f>
        <v/>
      </c>
    </row>
    <row r="65" spans="1:9" ht="17.399999999999999" customHeight="1" x14ac:dyDescent="0.5">
      <c r="A65" s="33" t="str">
        <f t="array" ref="A65">IFERROR(INDEX('まとめ（登園）'!$B$3:$B$500,INT((ROW(A64)-1)/DAY(EOMONTH(貼り付け用!$B$2&amp;"1日",0)))+1)&amp;"","")</f>
        <v/>
      </c>
      <c r="B65" s="33" t="str">
        <f>IF(A65&lt;&gt;"",VLOOKUP(A65,子どもマスタ!$A$1:$F$301,2,FALSE),"")</f>
        <v/>
      </c>
      <c r="C65" s="34" t="str">
        <f>IF(A65&lt;&gt;"",
TEXT(VALUE(REPLACE(VLOOKUP(A65,子どもマスタ!$A$1:$F$301,5,FALSE),
FIND("(",VLOOKUP(A65,子どもマスタ!$A$1:$F$301,5,FALSE)),
FIND(")",VLOOKUP(A65,子どもマスタ!$A$1:$F$301,5,FALSE))
-FIND("(",VLOOKUP(A65,子どもマスタ!$A$1:$F$301,5,FALSE))+1,"")),"yyyy/mm/dd"),"")</f>
        <v/>
      </c>
      <c r="D65" s="35"/>
      <c r="E65" s="36"/>
      <c r="F65" s="34" t="str">
        <f>IF(A65="","",VALUE(貼り付け用!$B$2&amp;"1日")+MOD(ROW(A64)-1,DAY(EOMONTH(貼り付け用!$B$2&amp;"1日",0))))</f>
        <v/>
      </c>
      <c r="G65" s="34"/>
      <c r="H65" s="44" t="str">
        <f ca="1">IF(A65&lt;&gt;"",OFFSET('まとめ（登園）'!$B$1,MATCH(CSVフォーム!A65,'まとめ（登園）'!$B:$B,0)-1,MATCH(DAY(F65),'まとめ（登園）'!$2:$2,0)-2),"")</f>
        <v/>
      </c>
      <c r="I65" s="44" t="str">
        <f ca="1">IF(A65&lt;&gt;"",OFFSET('まとめ（降園）'!$B$1,MATCH(CSVフォーム!A65,'まとめ（降園）'!$B:$B,0)-1,MATCH(DAY(F65),'まとめ（降園）'!$2:$2,0)-2),"")</f>
        <v/>
      </c>
    </row>
    <row r="66" spans="1:9" ht="17.399999999999999" customHeight="1" x14ac:dyDescent="0.5">
      <c r="A66" s="33" t="str">
        <f t="array" ref="A66">IFERROR(INDEX('まとめ（登園）'!$B$3:$B$500,INT((ROW(A65)-1)/DAY(EOMONTH(貼り付け用!$B$2&amp;"1日",0)))+1)&amp;"","")</f>
        <v/>
      </c>
      <c r="B66" s="33" t="str">
        <f>IF(A66&lt;&gt;"",VLOOKUP(A66,子どもマスタ!$A$1:$F$301,2,FALSE),"")</f>
        <v/>
      </c>
      <c r="C66" s="34" t="str">
        <f>IF(A66&lt;&gt;"",
TEXT(VALUE(REPLACE(VLOOKUP(A66,子どもマスタ!$A$1:$F$301,5,FALSE),
FIND("(",VLOOKUP(A66,子どもマスタ!$A$1:$F$301,5,FALSE)),
FIND(")",VLOOKUP(A66,子どもマスタ!$A$1:$F$301,5,FALSE))
-FIND("(",VLOOKUP(A66,子どもマスタ!$A$1:$F$301,5,FALSE))+1,"")),"yyyy/mm/dd"),"")</f>
        <v/>
      </c>
      <c r="D66" s="35"/>
      <c r="E66" s="36"/>
      <c r="F66" s="34" t="str">
        <f>IF(A66="","",VALUE(貼り付け用!$B$2&amp;"1日")+MOD(ROW(A65)-1,DAY(EOMONTH(貼り付け用!$B$2&amp;"1日",0))))</f>
        <v/>
      </c>
      <c r="G66" s="34"/>
      <c r="H66" s="44" t="str">
        <f ca="1">IF(A66&lt;&gt;"",OFFSET('まとめ（登園）'!$B$1,MATCH(CSVフォーム!A66,'まとめ（登園）'!$B:$B,0)-1,MATCH(DAY(F66),'まとめ（登園）'!$2:$2,0)-2),"")</f>
        <v/>
      </c>
      <c r="I66" s="44" t="str">
        <f ca="1">IF(A66&lt;&gt;"",OFFSET('まとめ（降園）'!$B$1,MATCH(CSVフォーム!A66,'まとめ（降園）'!$B:$B,0)-1,MATCH(DAY(F66),'まとめ（降園）'!$2:$2,0)-2),"")</f>
        <v/>
      </c>
    </row>
    <row r="67" spans="1:9" ht="17.399999999999999" customHeight="1" x14ac:dyDescent="0.5">
      <c r="A67" s="33" t="str">
        <f t="array" ref="A67">IFERROR(INDEX('まとめ（登園）'!$B$3:$B$500,INT((ROW(A66)-1)/DAY(EOMONTH(貼り付け用!$B$2&amp;"1日",0)))+1)&amp;"","")</f>
        <v/>
      </c>
      <c r="B67" s="33" t="str">
        <f>IF(A67&lt;&gt;"",VLOOKUP(A67,子どもマスタ!$A$1:$F$301,2,FALSE),"")</f>
        <v/>
      </c>
      <c r="C67" s="34" t="str">
        <f>IF(A67&lt;&gt;"",
TEXT(VALUE(REPLACE(VLOOKUP(A67,子どもマスタ!$A$1:$F$301,5,FALSE),
FIND("(",VLOOKUP(A67,子どもマスタ!$A$1:$F$301,5,FALSE)),
FIND(")",VLOOKUP(A67,子どもマスタ!$A$1:$F$301,5,FALSE))
-FIND("(",VLOOKUP(A67,子どもマスタ!$A$1:$F$301,5,FALSE))+1,"")),"yyyy/mm/dd"),"")</f>
        <v/>
      </c>
      <c r="D67" s="35"/>
      <c r="E67" s="36"/>
      <c r="F67" s="34" t="str">
        <f>IF(A67="","",VALUE(貼り付け用!$B$2&amp;"1日")+MOD(ROW(A66)-1,DAY(EOMONTH(貼り付け用!$B$2&amp;"1日",0))))</f>
        <v/>
      </c>
      <c r="G67" s="34"/>
      <c r="H67" s="44" t="str">
        <f ca="1">IF(A67&lt;&gt;"",OFFSET('まとめ（登園）'!$B$1,MATCH(CSVフォーム!A67,'まとめ（登園）'!$B:$B,0)-1,MATCH(DAY(F67),'まとめ（登園）'!$2:$2,0)-2),"")</f>
        <v/>
      </c>
      <c r="I67" s="44" t="str">
        <f ca="1">IF(A67&lt;&gt;"",OFFSET('まとめ（降園）'!$B$1,MATCH(CSVフォーム!A67,'まとめ（降園）'!$B:$B,0)-1,MATCH(DAY(F67),'まとめ（降園）'!$2:$2,0)-2),"")</f>
        <v/>
      </c>
    </row>
    <row r="68" spans="1:9" ht="17.399999999999999" customHeight="1" x14ac:dyDescent="0.5">
      <c r="A68" s="33" t="str">
        <f t="array" ref="A68">IFERROR(INDEX('まとめ（登園）'!$B$3:$B$500,INT((ROW(A67)-1)/DAY(EOMONTH(貼り付け用!$B$2&amp;"1日",0)))+1)&amp;"","")</f>
        <v/>
      </c>
      <c r="B68" s="33" t="str">
        <f>IF(A68&lt;&gt;"",VLOOKUP(A68,子どもマスタ!$A$1:$F$301,2,FALSE),"")</f>
        <v/>
      </c>
      <c r="C68" s="34" t="str">
        <f>IF(A68&lt;&gt;"",
TEXT(VALUE(REPLACE(VLOOKUP(A68,子どもマスタ!$A$1:$F$301,5,FALSE),
FIND("(",VLOOKUP(A68,子どもマスタ!$A$1:$F$301,5,FALSE)),
FIND(")",VLOOKUP(A68,子どもマスタ!$A$1:$F$301,5,FALSE))
-FIND("(",VLOOKUP(A68,子どもマスタ!$A$1:$F$301,5,FALSE))+1,"")),"yyyy/mm/dd"),"")</f>
        <v/>
      </c>
      <c r="D68" s="35"/>
      <c r="E68" s="36"/>
      <c r="F68" s="34" t="str">
        <f>IF(A68="","",VALUE(貼り付け用!$B$2&amp;"1日")+MOD(ROW(A67)-1,DAY(EOMONTH(貼り付け用!$B$2&amp;"1日",0))))</f>
        <v/>
      </c>
      <c r="G68" s="34"/>
      <c r="H68" s="44" t="str">
        <f ca="1">IF(A68&lt;&gt;"",OFFSET('まとめ（登園）'!$B$1,MATCH(CSVフォーム!A68,'まとめ（登園）'!$B:$B,0)-1,MATCH(DAY(F68),'まとめ（登園）'!$2:$2,0)-2),"")</f>
        <v/>
      </c>
      <c r="I68" s="44" t="str">
        <f ca="1">IF(A68&lt;&gt;"",OFFSET('まとめ（降園）'!$B$1,MATCH(CSVフォーム!A68,'まとめ（降園）'!$B:$B,0)-1,MATCH(DAY(F68),'まとめ（降園）'!$2:$2,0)-2),"")</f>
        <v/>
      </c>
    </row>
    <row r="69" spans="1:9" ht="17.399999999999999" customHeight="1" x14ac:dyDescent="0.5">
      <c r="A69" s="33" t="str">
        <f t="array" ref="A69">IFERROR(INDEX('まとめ（登園）'!$B$3:$B$500,INT((ROW(A68)-1)/DAY(EOMONTH(貼り付け用!$B$2&amp;"1日",0)))+1)&amp;"","")</f>
        <v/>
      </c>
      <c r="B69" s="33" t="str">
        <f>IF(A69&lt;&gt;"",VLOOKUP(A69,子どもマスタ!$A$1:$F$301,2,FALSE),"")</f>
        <v/>
      </c>
      <c r="C69" s="34" t="str">
        <f>IF(A69&lt;&gt;"",
TEXT(VALUE(REPLACE(VLOOKUP(A69,子どもマスタ!$A$1:$F$301,5,FALSE),
FIND("(",VLOOKUP(A69,子どもマスタ!$A$1:$F$301,5,FALSE)),
FIND(")",VLOOKUP(A69,子どもマスタ!$A$1:$F$301,5,FALSE))
-FIND("(",VLOOKUP(A69,子どもマスタ!$A$1:$F$301,5,FALSE))+1,"")),"yyyy/mm/dd"),"")</f>
        <v/>
      </c>
      <c r="D69" s="35"/>
      <c r="E69" s="36"/>
      <c r="F69" s="34" t="str">
        <f>IF(A69="","",VALUE(貼り付け用!$B$2&amp;"1日")+MOD(ROW(A68)-1,DAY(EOMONTH(貼り付け用!$B$2&amp;"1日",0))))</f>
        <v/>
      </c>
      <c r="G69" s="34"/>
      <c r="H69" s="44" t="str">
        <f ca="1">IF(A69&lt;&gt;"",OFFSET('まとめ（登園）'!$B$1,MATCH(CSVフォーム!A69,'まとめ（登園）'!$B:$B,0)-1,MATCH(DAY(F69),'まとめ（登園）'!$2:$2,0)-2),"")</f>
        <v/>
      </c>
      <c r="I69" s="44" t="str">
        <f ca="1">IF(A69&lt;&gt;"",OFFSET('まとめ（降園）'!$B$1,MATCH(CSVフォーム!A69,'まとめ（降園）'!$B:$B,0)-1,MATCH(DAY(F69),'まとめ（降園）'!$2:$2,0)-2),"")</f>
        <v/>
      </c>
    </row>
    <row r="70" spans="1:9" ht="17.399999999999999" customHeight="1" x14ac:dyDescent="0.5">
      <c r="A70" s="33" t="str">
        <f t="array" ref="A70">IFERROR(INDEX('まとめ（登園）'!$B$3:$B$500,INT((ROW(A69)-1)/DAY(EOMONTH(貼り付け用!$B$2&amp;"1日",0)))+1)&amp;"","")</f>
        <v/>
      </c>
      <c r="B70" s="33" t="str">
        <f>IF(A70&lt;&gt;"",VLOOKUP(A70,子どもマスタ!$A$1:$F$301,2,FALSE),"")</f>
        <v/>
      </c>
      <c r="C70" s="34" t="str">
        <f>IF(A70&lt;&gt;"",
TEXT(VALUE(REPLACE(VLOOKUP(A70,子どもマスタ!$A$1:$F$301,5,FALSE),
FIND("(",VLOOKUP(A70,子どもマスタ!$A$1:$F$301,5,FALSE)),
FIND(")",VLOOKUP(A70,子どもマスタ!$A$1:$F$301,5,FALSE))
-FIND("(",VLOOKUP(A70,子どもマスタ!$A$1:$F$301,5,FALSE))+1,"")),"yyyy/mm/dd"),"")</f>
        <v/>
      </c>
      <c r="D70" s="35"/>
      <c r="E70" s="36"/>
      <c r="F70" s="34" t="str">
        <f>IF(A70="","",VALUE(貼り付け用!$B$2&amp;"1日")+MOD(ROW(A69)-1,DAY(EOMONTH(貼り付け用!$B$2&amp;"1日",0))))</f>
        <v/>
      </c>
      <c r="G70" s="34"/>
      <c r="H70" s="44" t="str">
        <f ca="1">IF(A70&lt;&gt;"",OFFSET('まとめ（登園）'!$B$1,MATCH(CSVフォーム!A70,'まとめ（登園）'!$B:$B,0)-1,MATCH(DAY(F70),'まとめ（登園）'!$2:$2,0)-2),"")</f>
        <v/>
      </c>
      <c r="I70" s="44" t="str">
        <f ca="1">IF(A70&lt;&gt;"",OFFSET('まとめ（降園）'!$B$1,MATCH(CSVフォーム!A70,'まとめ（降園）'!$B:$B,0)-1,MATCH(DAY(F70),'まとめ（降園）'!$2:$2,0)-2),"")</f>
        <v/>
      </c>
    </row>
    <row r="71" spans="1:9" ht="17.399999999999999" customHeight="1" x14ac:dyDescent="0.5">
      <c r="A71" s="33" t="str">
        <f t="array" ref="A71">IFERROR(INDEX('まとめ（登園）'!$B$3:$B$500,INT((ROW(A70)-1)/DAY(EOMONTH(貼り付け用!$B$2&amp;"1日",0)))+1)&amp;"","")</f>
        <v/>
      </c>
      <c r="B71" s="33" t="str">
        <f>IF(A71&lt;&gt;"",VLOOKUP(A71,子どもマスタ!$A$1:$F$301,2,FALSE),"")</f>
        <v/>
      </c>
      <c r="C71" s="34" t="str">
        <f>IF(A71&lt;&gt;"",
TEXT(VALUE(REPLACE(VLOOKUP(A71,子どもマスタ!$A$1:$F$301,5,FALSE),
FIND("(",VLOOKUP(A71,子どもマスタ!$A$1:$F$301,5,FALSE)),
FIND(")",VLOOKUP(A71,子どもマスタ!$A$1:$F$301,5,FALSE))
-FIND("(",VLOOKUP(A71,子どもマスタ!$A$1:$F$301,5,FALSE))+1,"")),"yyyy/mm/dd"),"")</f>
        <v/>
      </c>
      <c r="D71" s="35"/>
      <c r="E71" s="36"/>
      <c r="F71" s="34" t="str">
        <f>IF(A71="","",VALUE(貼り付け用!$B$2&amp;"1日")+MOD(ROW(A70)-1,DAY(EOMONTH(貼り付け用!$B$2&amp;"1日",0))))</f>
        <v/>
      </c>
      <c r="G71" s="34"/>
      <c r="H71" s="44" t="str">
        <f ca="1">IF(A71&lt;&gt;"",OFFSET('まとめ（登園）'!$B$1,MATCH(CSVフォーム!A71,'まとめ（登園）'!$B:$B,0)-1,MATCH(DAY(F71),'まとめ（登園）'!$2:$2,0)-2),"")</f>
        <v/>
      </c>
      <c r="I71" s="44" t="str">
        <f ca="1">IF(A71&lt;&gt;"",OFFSET('まとめ（降園）'!$B$1,MATCH(CSVフォーム!A71,'まとめ（降園）'!$B:$B,0)-1,MATCH(DAY(F71),'まとめ（降園）'!$2:$2,0)-2),"")</f>
        <v/>
      </c>
    </row>
    <row r="72" spans="1:9" ht="17.399999999999999" customHeight="1" x14ac:dyDescent="0.5">
      <c r="A72" s="33" t="str">
        <f t="array" ref="A72">IFERROR(INDEX('まとめ（登園）'!$B$3:$B$500,INT((ROW(A71)-1)/DAY(EOMONTH(貼り付け用!$B$2&amp;"1日",0)))+1)&amp;"","")</f>
        <v/>
      </c>
      <c r="B72" s="33" t="str">
        <f>IF(A72&lt;&gt;"",VLOOKUP(A72,子どもマスタ!$A$1:$F$301,2,FALSE),"")</f>
        <v/>
      </c>
      <c r="C72" s="34" t="str">
        <f>IF(A72&lt;&gt;"",
TEXT(VALUE(REPLACE(VLOOKUP(A72,子どもマスタ!$A$1:$F$301,5,FALSE),
FIND("(",VLOOKUP(A72,子どもマスタ!$A$1:$F$301,5,FALSE)),
FIND(")",VLOOKUP(A72,子どもマスタ!$A$1:$F$301,5,FALSE))
-FIND("(",VLOOKUP(A72,子どもマスタ!$A$1:$F$301,5,FALSE))+1,"")),"yyyy/mm/dd"),"")</f>
        <v/>
      </c>
      <c r="D72" s="35"/>
      <c r="E72" s="36"/>
      <c r="F72" s="34" t="str">
        <f>IF(A72="","",VALUE(貼り付け用!$B$2&amp;"1日")+MOD(ROW(A71)-1,DAY(EOMONTH(貼り付け用!$B$2&amp;"1日",0))))</f>
        <v/>
      </c>
      <c r="G72" s="34"/>
      <c r="H72" s="44" t="str">
        <f ca="1">IF(A72&lt;&gt;"",OFFSET('まとめ（登園）'!$B$1,MATCH(CSVフォーム!A72,'まとめ（登園）'!$B:$B,0)-1,MATCH(DAY(F72),'まとめ（登園）'!$2:$2,0)-2),"")</f>
        <v/>
      </c>
      <c r="I72" s="44" t="str">
        <f ca="1">IF(A72&lt;&gt;"",OFFSET('まとめ（降園）'!$B$1,MATCH(CSVフォーム!A72,'まとめ（降園）'!$B:$B,0)-1,MATCH(DAY(F72),'まとめ（降園）'!$2:$2,0)-2),"")</f>
        <v/>
      </c>
    </row>
    <row r="73" spans="1:9" ht="17.399999999999999" customHeight="1" x14ac:dyDescent="0.5">
      <c r="A73" s="33" t="str">
        <f t="array" ref="A73">IFERROR(INDEX('まとめ（登園）'!$B$3:$B$500,INT((ROW(A72)-1)/DAY(EOMONTH(貼り付け用!$B$2&amp;"1日",0)))+1)&amp;"","")</f>
        <v/>
      </c>
      <c r="B73" s="33" t="str">
        <f>IF(A73&lt;&gt;"",VLOOKUP(A73,子どもマスタ!$A$1:$F$301,2,FALSE),"")</f>
        <v/>
      </c>
      <c r="C73" s="34" t="str">
        <f>IF(A73&lt;&gt;"",
TEXT(VALUE(REPLACE(VLOOKUP(A73,子どもマスタ!$A$1:$F$301,5,FALSE),
FIND("(",VLOOKUP(A73,子どもマスタ!$A$1:$F$301,5,FALSE)),
FIND(")",VLOOKUP(A73,子どもマスタ!$A$1:$F$301,5,FALSE))
-FIND("(",VLOOKUP(A73,子どもマスタ!$A$1:$F$301,5,FALSE))+1,"")),"yyyy/mm/dd"),"")</f>
        <v/>
      </c>
      <c r="D73" s="35"/>
      <c r="E73" s="36"/>
      <c r="F73" s="34" t="str">
        <f>IF(A73="","",VALUE(貼り付け用!$B$2&amp;"1日")+MOD(ROW(A72)-1,DAY(EOMONTH(貼り付け用!$B$2&amp;"1日",0))))</f>
        <v/>
      </c>
      <c r="G73" s="34"/>
      <c r="H73" s="44" t="str">
        <f ca="1">IF(A73&lt;&gt;"",OFFSET('まとめ（登園）'!$B$1,MATCH(CSVフォーム!A73,'まとめ（登園）'!$B:$B,0)-1,MATCH(DAY(F73),'まとめ（登園）'!$2:$2,0)-2),"")</f>
        <v/>
      </c>
      <c r="I73" s="44" t="str">
        <f ca="1">IF(A73&lt;&gt;"",OFFSET('まとめ（降園）'!$B$1,MATCH(CSVフォーム!A73,'まとめ（降園）'!$B:$B,0)-1,MATCH(DAY(F73),'まとめ（降園）'!$2:$2,0)-2),"")</f>
        <v/>
      </c>
    </row>
    <row r="74" spans="1:9" ht="17.399999999999999" customHeight="1" x14ac:dyDescent="0.5">
      <c r="A74" s="33" t="str">
        <f t="array" ref="A74">IFERROR(INDEX('まとめ（登園）'!$B$3:$B$500,INT((ROW(A73)-1)/DAY(EOMONTH(貼り付け用!$B$2&amp;"1日",0)))+1)&amp;"","")</f>
        <v/>
      </c>
      <c r="B74" s="33" t="str">
        <f>IF(A74&lt;&gt;"",VLOOKUP(A74,子どもマスタ!$A$1:$F$301,2,FALSE),"")</f>
        <v/>
      </c>
      <c r="C74" s="34" t="str">
        <f>IF(A74&lt;&gt;"",
TEXT(VALUE(REPLACE(VLOOKUP(A74,子どもマスタ!$A$1:$F$301,5,FALSE),
FIND("(",VLOOKUP(A74,子どもマスタ!$A$1:$F$301,5,FALSE)),
FIND(")",VLOOKUP(A74,子どもマスタ!$A$1:$F$301,5,FALSE))
-FIND("(",VLOOKUP(A74,子どもマスタ!$A$1:$F$301,5,FALSE))+1,"")),"yyyy/mm/dd"),"")</f>
        <v/>
      </c>
      <c r="D74" s="35"/>
      <c r="E74" s="36"/>
      <c r="F74" s="34" t="str">
        <f>IF(A74="","",VALUE(貼り付け用!$B$2&amp;"1日")+MOD(ROW(A73)-1,DAY(EOMONTH(貼り付け用!$B$2&amp;"1日",0))))</f>
        <v/>
      </c>
      <c r="G74" s="34"/>
      <c r="H74" s="44" t="str">
        <f ca="1">IF(A74&lt;&gt;"",OFFSET('まとめ（登園）'!$B$1,MATCH(CSVフォーム!A74,'まとめ（登園）'!$B:$B,0)-1,MATCH(DAY(F74),'まとめ（登園）'!$2:$2,0)-2),"")</f>
        <v/>
      </c>
      <c r="I74" s="44" t="str">
        <f ca="1">IF(A74&lt;&gt;"",OFFSET('まとめ（降園）'!$B$1,MATCH(CSVフォーム!A74,'まとめ（降園）'!$B:$B,0)-1,MATCH(DAY(F74),'まとめ（降園）'!$2:$2,0)-2),"")</f>
        <v/>
      </c>
    </row>
    <row r="75" spans="1:9" ht="17.399999999999999" customHeight="1" x14ac:dyDescent="0.5">
      <c r="A75" s="33" t="str">
        <f t="array" ref="A75">IFERROR(INDEX('まとめ（登園）'!$B$3:$B$500,INT((ROW(A74)-1)/DAY(EOMONTH(貼り付け用!$B$2&amp;"1日",0)))+1)&amp;"","")</f>
        <v/>
      </c>
      <c r="B75" s="33" t="str">
        <f>IF(A75&lt;&gt;"",VLOOKUP(A75,子どもマスタ!$A$1:$F$301,2,FALSE),"")</f>
        <v/>
      </c>
      <c r="C75" s="34" t="str">
        <f>IF(A75&lt;&gt;"",
TEXT(VALUE(REPLACE(VLOOKUP(A75,子どもマスタ!$A$1:$F$301,5,FALSE),
FIND("(",VLOOKUP(A75,子どもマスタ!$A$1:$F$301,5,FALSE)),
FIND(")",VLOOKUP(A75,子どもマスタ!$A$1:$F$301,5,FALSE))
-FIND("(",VLOOKUP(A75,子どもマスタ!$A$1:$F$301,5,FALSE))+1,"")),"yyyy/mm/dd"),"")</f>
        <v/>
      </c>
      <c r="D75" s="35"/>
      <c r="E75" s="36"/>
      <c r="F75" s="34" t="str">
        <f>IF(A75="","",VALUE(貼り付け用!$B$2&amp;"1日")+MOD(ROW(A74)-1,DAY(EOMONTH(貼り付け用!$B$2&amp;"1日",0))))</f>
        <v/>
      </c>
      <c r="G75" s="34"/>
      <c r="H75" s="44" t="str">
        <f ca="1">IF(A75&lt;&gt;"",OFFSET('まとめ（登園）'!$B$1,MATCH(CSVフォーム!A75,'まとめ（登園）'!$B:$B,0)-1,MATCH(DAY(F75),'まとめ（登園）'!$2:$2,0)-2),"")</f>
        <v/>
      </c>
      <c r="I75" s="44" t="str">
        <f ca="1">IF(A75&lt;&gt;"",OFFSET('まとめ（降園）'!$B$1,MATCH(CSVフォーム!A75,'まとめ（降園）'!$B:$B,0)-1,MATCH(DAY(F75),'まとめ（降園）'!$2:$2,0)-2),"")</f>
        <v/>
      </c>
    </row>
    <row r="76" spans="1:9" ht="17.399999999999999" customHeight="1" x14ac:dyDescent="0.5">
      <c r="A76" s="33" t="str">
        <f t="array" ref="A76">IFERROR(INDEX('まとめ（登園）'!$B$3:$B$500,INT((ROW(A75)-1)/DAY(EOMONTH(貼り付け用!$B$2&amp;"1日",0)))+1)&amp;"","")</f>
        <v/>
      </c>
      <c r="B76" s="33" t="str">
        <f>IF(A76&lt;&gt;"",VLOOKUP(A76,子どもマスタ!$A$1:$F$301,2,FALSE),"")</f>
        <v/>
      </c>
      <c r="C76" s="34" t="str">
        <f>IF(A76&lt;&gt;"",
TEXT(VALUE(REPLACE(VLOOKUP(A76,子どもマスタ!$A$1:$F$301,5,FALSE),
FIND("(",VLOOKUP(A76,子どもマスタ!$A$1:$F$301,5,FALSE)),
FIND(")",VLOOKUP(A76,子どもマスタ!$A$1:$F$301,5,FALSE))
-FIND("(",VLOOKUP(A76,子どもマスタ!$A$1:$F$301,5,FALSE))+1,"")),"yyyy/mm/dd"),"")</f>
        <v/>
      </c>
      <c r="D76" s="35"/>
      <c r="E76" s="36"/>
      <c r="F76" s="34" t="str">
        <f>IF(A76="","",VALUE(貼り付け用!$B$2&amp;"1日")+MOD(ROW(A75)-1,DAY(EOMONTH(貼り付け用!$B$2&amp;"1日",0))))</f>
        <v/>
      </c>
      <c r="G76" s="34"/>
      <c r="H76" s="44" t="str">
        <f ca="1">IF(A76&lt;&gt;"",OFFSET('まとめ（登園）'!$B$1,MATCH(CSVフォーム!A76,'まとめ（登園）'!$B:$B,0)-1,MATCH(DAY(F76),'まとめ（登園）'!$2:$2,0)-2),"")</f>
        <v/>
      </c>
      <c r="I76" s="44" t="str">
        <f ca="1">IF(A76&lt;&gt;"",OFFSET('まとめ（降園）'!$B$1,MATCH(CSVフォーム!A76,'まとめ（降園）'!$B:$B,0)-1,MATCH(DAY(F76),'まとめ（降園）'!$2:$2,0)-2),"")</f>
        <v/>
      </c>
    </row>
    <row r="77" spans="1:9" ht="17.399999999999999" customHeight="1" x14ac:dyDescent="0.5">
      <c r="A77" s="33" t="str">
        <f t="array" ref="A77">IFERROR(INDEX('まとめ（登園）'!$B$3:$B$500,INT((ROW(A76)-1)/DAY(EOMONTH(貼り付け用!$B$2&amp;"1日",0)))+1)&amp;"","")</f>
        <v/>
      </c>
      <c r="B77" s="33" t="str">
        <f>IF(A77&lt;&gt;"",VLOOKUP(A77,子どもマスタ!$A$1:$F$301,2,FALSE),"")</f>
        <v/>
      </c>
      <c r="C77" s="34" t="str">
        <f>IF(A77&lt;&gt;"",
TEXT(VALUE(REPLACE(VLOOKUP(A77,子どもマスタ!$A$1:$F$301,5,FALSE),
FIND("(",VLOOKUP(A77,子どもマスタ!$A$1:$F$301,5,FALSE)),
FIND(")",VLOOKUP(A77,子どもマスタ!$A$1:$F$301,5,FALSE))
-FIND("(",VLOOKUP(A77,子どもマスタ!$A$1:$F$301,5,FALSE))+1,"")),"yyyy/mm/dd"),"")</f>
        <v/>
      </c>
      <c r="D77" s="35"/>
      <c r="E77" s="36"/>
      <c r="F77" s="34" t="str">
        <f>IF(A77="","",VALUE(貼り付け用!$B$2&amp;"1日")+MOD(ROW(A76)-1,DAY(EOMONTH(貼り付け用!$B$2&amp;"1日",0))))</f>
        <v/>
      </c>
      <c r="G77" s="34"/>
      <c r="H77" s="44" t="str">
        <f ca="1">IF(A77&lt;&gt;"",OFFSET('まとめ（登園）'!$B$1,MATCH(CSVフォーム!A77,'まとめ（登園）'!$B:$B,0)-1,MATCH(DAY(F77),'まとめ（登園）'!$2:$2,0)-2),"")</f>
        <v/>
      </c>
      <c r="I77" s="44" t="str">
        <f ca="1">IF(A77&lt;&gt;"",OFFSET('まとめ（降園）'!$B$1,MATCH(CSVフォーム!A77,'まとめ（降園）'!$B:$B,0)-1,MATCH(DAY(F77),'まとめ（降園）'!$2:$2,0)-2),"")</f>
        <v/>
      </c>
    </row>
    <row r="78" spans="1:9" ht="17.399999999999999" customHeight="1" x14ac:dyDescent="0.5">
      <c r="A78" s="33" t="str">
        <f t="array" ref="A78">IFERROR(INDEX('まとめ（登園）'!$B$3:$B$500,INT((ROW(A77)-1)/DAY(EOMONTH(貼り付け用!$B$2&amp;"1日",0)))+1)&amp;"","")</f>
        <v/>
      </c>
      <c r="B78" s="33" t="str">
        <f>IF(A78&lt;&gt;"",VLOOKUP(A78,子どもマスタ!$A$1:$F$301,2,FALSE),"")</f>
        <v/>
      </c>
      <c r="C78" s="34" t="str">
        <f>IF(A78&lt;&gt;"",
TEXT(VALUE(REPLACE(VLOOKUP(A78,子どもマスタ!$A$1:$F$301,5,FALSE),
FIND("(",VLOOKUP(A78,子どもマスタ!$A$1:$F$301,5,FALSE)),
FIND(")",VLOOKUP(A78,子どもマスタ!$A$1:$F$301,5,FALSE))
-FIND("(",VLOOKUP(A78,子どもマスタ!$A$1:$F$301,5,FALSE))+1,"")),"yyyy/mm/dd"),"")</f>
        <v/>
      </c>
      <c r="D78" s="35"/>
      <c r="E78" s="36"/>
      <c r="F78" s="34" t="str">
        <f>IF(A78="","",VALUE(貼り付け用!$B$2&amp;"1日")+MOD(ROW(A77)-1,DAY(EOMONTH(貼り付け用!$B$2&amp;"1日",0))))</f>
        <v/>
      </c>
      <c r="G78" s="34"/>
      <c r="H78" s="44" t="str">
        <f ca="1">IF(A78&lt;&gt;"",OFFSET('まとめ（登園）'!$B$1,MATCH(CSVフォーム!A78,'まとめ（登園）'!$B:$B,0)-1,MATCH(DAY(F78),'まとめ（登園）'!$2:$2,0)-2),"")</f>
        <v/>
      </c>
      <c r="I78" s="44" t="str">
        <f ca="1">IF(A78&lt;&gt;"",OFFSET('まとめ（降園）'!$B$1,MATCH(CSVフォーム!A78,'まとめ（降園）'!$B:$B,0)-1,MATCH(DAY(F78),'まとめ（降園）'!$2:$2,0)-2),"")</f>
        <v/>
      </c>
    </row>
    <row r="79" spans="1:9" ht="17.399999999999999" customHeight="1" x14ac:dyDescent="0.5">
      <c r="A79" s="33" t="str">
        <f t="array" ref="A79">IFERROR(INDEX('まとめ（登園）'!$B$3:$B$500,INT((ROW(A78)-1)/DAY(EOMONTH(貼り付け用!$B$2&amp;"1日",0)))+1)&amp;"","")</f>
        <v/>
      </c>
      <c r="B79" s="33" t="str">
        <f>IF(A79&lt;&gt;"",VLOOKUP(A79,子どもマスタ!$A$1:$F$301,2,FALSE),"")</f>
        <v/>
      </c>
      <c r="C79" s="34" t="str">
        <f>IF(A79&lt;&gt;"",
TEXT(VALUE(REPLACE(VLOOKUP(A79,子どもマスタ!$A$1:$F$301,5,FALSE),
FIND("(",VLOOKUP(A79,子どもマスタ!$A$1:$F$301,5,FALSE)),
FIND(")",VLOOKUP(A79,子どもマスタ!$A$1:$F$301,5,FALSE))
-FIND("(",VLOOKUP(A79,子どもマスタ!$A$1:$F$301,5,FALSE))+1,"")),"yyyy/mm/dd"),"")</f>
        <v/>
      </c>
      <c r="D79" s="35"/>
      <c r="E79" s="36"/>
      <c r="F79" s="34" t="str">
        <f>IF(A79="","",VALUE(貼り付け用!$B$2&amp;"1日")+MOD(ROW(A78)-1,DAY(EOMONTH(貼り付け用!$B$2&amp;"1日",0))))</f>
        <v/>
      </c>
      <c r="G79" s="34"/>
      <c r="H79" s="44" t="str">
        <f ca="1">IF(A79&lt;&gt;"",OFFSET('まとめ（登園）'!$B$1,MATCH(CSVフォーム!A79,'まとめ（登園）'!$B:$B,0)-1,MATCH(DAY(F79),'まとめ（登園）'!$2:$2,0)-2),"")</f>
        <v/>
      </c>
      <c r="I79" s="44" t="str">
        <f ca="1">IF(A79&lt;&gt;"",OFFSET('まとめ（降園）'!$B$1,MATCH(CSVフォーム!A79,'まとめ（降園）'!$B:$B,0)-1,MATCH(DAY(F79),'まとめ（降園）'!$2:$2,0)-2),"")</f>
        <v/>
      </c>
    </row>
    <row r="80" spans="1:9" ht="17.399999999999999" customHeight="1" x14ac:dyDescent="0.5">
      <c r="A80" s="33" t="str">
        <f t="array" ref="A80">IFERROR(INDEX('まとめ（登園）'!$B$3:$B$500,INT((ROW(A79)-1)/DAY(EOMONTH(貼り付け用!$B$2&amp;"1日",0)))+1)&amp;"","")</f>
        <v/>
      </c>
      <c r="B80" s="33" t="str">
        <f>IF(A80&lt;&gt;"",VLOOKUP(A80,子どもマスタ!$A$1:$F$301,2,FALSE),"")</f>
        <v/>
      </c>
      <c r="C80" s="34" t="str">
        <f>IF(A80&lt;&gt;"",
TEXT(VALUE(REPLACE(VLOOKUP(A80,子どもマスタ!$A$1:$F$301,5,FALSE),
FIND("(",VLOOKUP(A80,子どもマスタ!$A$1:$F$301,5,FALSE)),
FIND(")",VLOOKUP(A80,子どもマスタ!$A$1:$F$301,5,FALSE))
-FIND("(",VLOOKUP(A80,子どもマスタ!$A$1:$F$301,5,FALSE))+1,"")),"yyyy/mm/dd"),"")</f>
        <v/>
      </c>
      <c r="D80" s="35"/>
      <c r="E80" s="36"/>
      <c r="F80" s="34" t="str">
        <f>IF(A80="","",VALUE(貼り付け用!$B$2&amp;"1日")+MOD(ROW(A79)-1,DAY(EOMONTH(貼り付け用!$B$2&amp;"1日",0))))</f>
        <v/>
      </c>
      <c r="G80" s="34"/>
      <c r="H80" s="44" t="str">
        <f ca="1">IF(A80&lt;&gt;"",OFFSET('まとめ（登園）'!$B$1,MATCH(CSVフォーム!A80,'まとめ（登園）'!$B:$B,0)-1,MATCH(DAY(F80),'まとめ（登園）'!$2:$2,0)-2),"")</f>
        <v/>
      </c>
      <c r="I80" s="44" t="str">
        <f ca="1">IF(A80&lt;&gt;"",OFFSET('まとめ（降園）'!$B$1,MATCH(CSVフォーム!A80,'まとめ（降園）'!$B:$B,0)-1,MATCH(DAY(F80),'まとめ（降園）'!$2:$2,0)-2),"")</f>
        <v/>
      </c>
    </row>
    <row r="81" spans="1:9" ht="17.399999999999999" customHeight="1" x14ac:dyDescent="0.5">
      <c r="A81" s="33" t="str">
        <f t="array" ref="A81">IFERROR(INDEX('まとめ（登園）'!$B$3:$B$500,INT((ROW(A80)-1)/DAY(EOMONTH(貼り付け用!$B$2&amp;"1日",0)))+1)&amp;"","")</f>
        <v/>
      </c>
      <c r="B81" s="33" t="str">
        <f>IF(A81&lt;&gt;"",VLOOKUP(A81,子どもマスタ!$A$1:$F$301,2,FALSE),"")</f>
        <v/>
      </c>
      <c r="C81" s="34" t="str">
        <f>IF(A81&lt;&gt;"",
TEXT(VALUE(REPLACE(VLOOKUP(A81,子どもマスタ!$A$1:$F$301,5,FALSE),
FIND("(",VLOOKUP(A81,子どもマスタ!$A$1:$F$301,5,FALSE)),
FIND(")",VLOOKUP(A81,子どもマスタ!$A$1:$F$301,5,FALSE))
-FIND("(",VLOOKUP(A81,子どもマスタ!$A$1:$F$301,5,FALSE))+1,"")),"yyyy/mm/dd"),"")</f>
        <v/>
      </c>
      <c r="D81" s="35"/>
      <c r="E81" s="36"/>
      <c r="F81" s="34" t="str">
        <f>IF(A81="","",VALUE(貼り付け用!$B$2&amp;"1日")+MOD(ROW(A80)-1,DAY(EOMONTH(貼り付け用!$B$2&amp;"1日",0))))</f>
        <v/>
      </c>
      <c r="G81" s="34"/>
      <c r="H81" s="44" t="str">
        <f ca="1">IF(A81&lt;&gt;"",OFFSET('まとめ（登園）'!$B$1,MATCH(CSVフォーム!A81,'まとめ（登園）'!$B:$B,0)-1,MATCH(DAY(F81),'まとめ（登園）'!$2:$2,0)-2),"")</f>
        <v/>
      </c>
      <c r="I81" s="44" t="str">
        <f ca="1">IF(A81&lt;&gt;"",OFFSET('まとめ（降園）'!$B$1,MATCH(CSVフォーム!A81,'まとめ（降園）'!$B:$B,0)-1,MATCH(DAY(F81),'まとめ（降園）'!$2:$2,0)-2),"")</f>
        <v/>
      </c>
    </row>
    <row r="82" spans="1:9" ht="17.399999999999999" customHeight="1" x14ac:dyDescent="0.5">
      <c r="A82" s="33" t="str">
        <f t="array" ref="A82">IFERROR(INDEX('まとめ（登園）'!$B$3:$B$500,INT((ROW(A81)-1)/DAY(EOMONTH(貼り付け用!$B$2&amp;"1日",0)))+1)&amp;"","")</f>
        <v/>
      </c>
      <c r="B82" s="33" t="str">
        <f>IF(A82&lt;&gt;"",VLOOKUP(A82,子どもマスタ!$A$1:$F$301,2,FALSE),"")</f>
        <v/>
      </c>
      <c r="C82" s="34" t="str">
        <f>IF(A82&lt;&gt;"",
TEXT(VALUE(REPLACE(VLOOKUP(A82,子どもマスタ!$A$1:$F$301,5,FALSE),
FIND("(",VLOOKUP(A82,子どもマスタ!$A$1:$F$301,5,FALSE)),
FIND(")",VLOOKUP(A82,子どもマスタ!$A$1:$F$301,5,FALSE))
-FIND("(",VLOOKUP(A82,子どもマスタ!$A$1:$F$301,5,FALSE))+1,"")),"yyyy/mm/dd"),"")</f>
        <v/>
      </c>
      <c r="D82" s="35"/>
      <c r="E82" s="36"/>
      <c r="F82" s="34" t="str">
        <f>IF(A82="","",VALUE(貼り付け用!$B$2&amp;"1日")+MOD(ROW(A81)-1,DAY(EOMONTH(貼り付け用!$B$2&amp;"1日",0))))</f>
        <v/>
      </c>
      <c r="G82" s="34"/>
      <c r="H82" s="44" t="str">
        <f ca="1">IF(A82&lt;&gt;"",OFFSET('まとめ（登園）'!$B$1,MATCH(CSVフォーム!A82,'まとめ（登園）'!$B:$B,0)-1,MATCH(DAY(F82),'まとめ（登園）'!$2:$2,0)-2),"")</f>
        <v/>
      </c>
      <c r="I82" s="44" t="str">
        <f ca="1">IF(A82&lt;&gt;"",OFFSET('まとめ（降園）'!$B$1,MATCH(CSVフォーム!A82,'まとめ（降園）'!$B:$B,0)-1,MATCH(DAY(F82),'まとめ（降園）'!$2:$2,0)-2),"")</f>
        <v/>
      </c>
    </row>
    <row r="83" spans="1:9" ht="17.399999999999999" customHeight="1" x14ac:dyDescent="0.5">
      <c r="A83" s="33" t="str">
        <f t="array" ref="A83">IFERROR(INDEX('まとめ（登園）'!$B$3:$B$500,INT((ROW(A82)-1)/DAY(EOMONTH(貼り付け用!$B$2&amp;"1日",0)))+1)&amp;"","")</f>
        <v/>
      </c>
      <c r="B83" s="33" t="str">
        <f>IF(A83&lt;&gt;"",VLOOKUP(A83,子どもマスタ!$A$1:$F$301,2,FALSE),"")</f>
        <v/>
      </c>
      <c r="C83" s="34" t="str">
        <f>IF(A83&lt;&gt;"",
TEXT(VALUE(REPLACE(VLOOKUP(A83,子どもマスタ!$A$1:$F$301,5,FALSE),
FIND("(",VLOOKUP(A83,子どもマスタ!$A$1:$F$301,5,FALSE)),
FIND(")",VLOOKUP(A83,子どもマスタ!$A$1:$F$301,5,FALSE))
-FIND("(",VLOOKUP(A83,子どもマスタ!$A$1:$F$301,5,FALSE))+1,"")),"yyyy/mm/dd"),"")</f>
        <v/>
      </c>
      <c r="D83" s="35"/>
      <c r="E83" s="36"/>
      <c r="F83" s="34" t="str">
        <f>IF(A83="","",VALUE(貼り付け用!$B$2&amp;"1日")+MOD(ROW(A82)-1,DAY(EOMONTH(貼り付け用!$B$2&amp;"1日",0))))</f>
        <v/>
      </c>
      <c r="G83" s="34"/>
      <c r="H83" s="44" t="str">
        <f ca="1">IF(A83&lt;&gt;"",OFFSET('まとめ（登園）'!$B$1,MATCH(CSVフォーム!A83,'まとめ（登園）'!$B:$B,0)-1,MATCH(DAY(F83),'まとめ（登園）'!$2:$2,0)-2),"")</f>
        <v/>
      </c>
      <c r="I83" s="44" t="str">
        <f ca="1">IF(A83&lt;&gt;"",OFFSET('まとめ（降園）'!$B$1,MATCH(CSVフォーム!A83,'まとめ（降園）'!$B:$B,0)-1,MATCH(DAY(F83),'まとめ（降園）'!$2:$2,0)-2),"")</f>
        <v/>
      </c>
    </row>
    <row r="84" spans="1:9" ht="17.399999999999999" customHeight="1" x14ac:dyDescent="0.5">
      <c r="A84" s="33" t="str">
        <f t="array" ref="A84">IFERROR(INDEX('まとめ（登園）'!$B$3:$B$500,INT((ROW(A83)-1)/DAY(EOMONTH(貼り付け用!$B$2&amp;"1日",0)))+1)&amp;"","")</f>
        <v/>
      </c>
      <c r="B84" s="33" t="str">
        <f>IF(A84&lt;&gt;"",VLOOKUP(A84,子どもマスタ!$A$1:$F$301,2,FALSE),"")</f>
        <v/>
      </c>
      <c r="C84" s="34" t="str">
        <f>IF(A84&lt;&gt;"",
TEXT(VALUE(REPLACE(VLOOKUP(A84,子どもマスタ!$A$1:$F$301,5,FALSE),
FIND("(",VLOOKUP(A84,子どもマスタ!$A$1:$F$301,5,FALSE)),
FIND(")",VLOOKUP(A84,子どもマスタ!$A$1:$F$301,5,FALSE))
-FIND("(",VLOOKUP(A84,子どもマスタ!$A$1:$F$301,5,FALSE))+1,"")),"yyyy/mm/dd"),"")</f>
        <v/>
      </c>
      <c r="D84" s="35"/>
      <c r="E84" s="36"/>
      <c r="F84" s="34" t="str">
        <f>IF(A84="","",VALUE(貼り付け用!$B$2&amp;"1日")+MOD(ROW(A83)-1,DAY(EOMONTH(貼り付け用!$B$2&amp;"1日",0))))</f>
        <v/>
      </c>
      <c r="G84" s="34"/>
      <c r="H84" s="44" t="str">
        <f ca="1">IF(A84&lt;&gt;"",OFFSET('まとめ（登園）'!$B$1,MATCH(CSVフォーム!A84,'まとめ（登園）'!$B:$B,0)-1,MATCH(DAY(F84),'まとめ（登園）'!$2:$2,0)-2),"")</f>
        <v/>
      </c>
      <c r="I84" s="44" t="str">
        <f ca="1">IF(A84&lt;&gt;"",OFFSET('まとめ（降園）'!$B$1,MATCH(CSVフォーム!A84,'まとめ（降園）'!$B:$B,0)-1,MATCH(DAY(F84),'まとめ（降園）'!$2:$2,0)-2),"")</f>
        <v/>
      </c>
    </row>
    <row r="85" spans="1:9" ht="17.399999999999999" customHeight="1" x14ac:dyDescent="0.5">
      <c r="A85" s="33" t="str">
        <f t="array" ref="A85">IFERROR(INDEX('まとめ（登園）'!$B$3:$B$500,INT((ROW(A84)-1)/DAY(EOMONTH(貼り付け用!$B$2&amp;"1日",0)))+1)&amp;"","")</f>
        <v/>
      </c>
      <c r="B85" s="33" t="str">
        <f>IF(A85&lt;&gt;"",VLOOKUP(A85,子どもマスタ!$A$1:$F$301,2,FALSE),"")</f>
        <v/>
      </c>
      <c r="C85" s="34" t="str">
        <f>IF(A85&lt;&gt;"",
TEXT(VALUE(REPLACE(VLOOKUP(A85,子どもマスタ!$A$1:$F$301,5,FALSE),
FIND("(",VLOOKUP(A85,子どもマスタ!$A$1:$F$301,5,FALSE)),
FIND(")",VLOOKUP(A85,子どもマスタ!$A$1:$F$301,5,FALSE))
-FIND("(",VLOOKUP(A85,子どもマスタ!$A$1:$F$301,5,FALSE))+1,"")),"yyyy/mm/dd"),"")</f>
        <v/>
      </c>
      <c r="D85" s="35"/>
      <c r="E85" s="36"/>
      <c r="F85" s="34" t="str">
        <f>IF(A85="","",VALUE(貼り付け用!$B$2&amp;"1日")+MOD(ROW(A84)-1,DAY(EOMONTH(貼り付け用!$B$2&amp;"1日",0))))</f>
        <v/>
      </c>
      <c r="G85" s="34"/>
      <c r="H85" s="44" t="str">
        <f ca="1">IF(A85&lt;&gt;"",OFFSET('まとめ（登園）'!$B$1,MATCH(CSVフォーム!A85,'まとめ（登園）'!$B:$B,0)-1,MATCH(DAY(F85),'まとめ（登園）'!$2:$2,0)-2),"")</f>
        <v/>
      </c>
      <c r="I85" s="44" t="str">
        <f ca="1">IF(A85&lt;&gt;"",OFFSET('まとめ（降園）'!$B$1,MATCH(CSVフォーム!A85,'まとめ（降園）'!$B:$B,0)-1,MATCH(DAY(F85),'まとめ（降園）'!$2:$2,0)-2),"")</f>
        <v/>
      </c>
    </row>
    <row r="86" spans="1:9" ht="17.399999999999999" customHeight="1" x14ac:dyDescent="0.5">
      <c r="A86" s="33" t="str">
        <f t="array" ref="A86">IFERROR(INDEX('まとめ（登園）'!$B$3:$B$500,INT((ROW(A85)-1)/DAY(EOMONTH(貼り付け用!$B$2&amp;"1日",0)))+1)&amp;"","")</f>
        <v/>
      </c>
      <c r="B86" s="33" t="str">
        <f>IF(A86&lt;&gt;"",VLOOKUP(A86,子どもマスタ!$A$1:$F$301,2,FALSE),"")</f>
        <v/>
      </c>
      <c r="C86" s="34" t="str">
        <f>IF(A86&lt;&gt;"",
TEXT(VALUE(REPLACE(VLOOKUP(A86,子どもマスタ!$A$1:$F$301,5,FALSE),
FIND("(",VLOOKUP(A86,子どもマスタ!$A$1:$F$301,5,FALSE)),
FIND(")",VLOOKUP(A86,子どもマスタ!$A$1:$F$301,5,FALSE))
-FIND("(",VLOOKUP(A86,子どもマスタ!$A$1:$F$301,5,FALSE))+1,"")),"yyyy/mm/dd"),"")</f>
        <v/>
      </c>
      <c r="D86" s="35"/>
      <c r="E86" s="36"/>
      <c r="F86" s="34" t="str">
        <f>IF(A86="","",VALUE(貼り付け用!$B$2&amp;"1日")+MOD(ROW(A85)-1,DAY(EOMONTH(貼り付け用!$B$2&amp;"1日",0))))</f>
        <v/>
      </c>
      <c r="G86" s="34"/>
      <c r="H86" s="44" t="str">
        <f ca="1">IF(A86&lt;&gt;"",OFFSET('まとめ（登園）'!$B$1,MATCH(CSVフォーム!A86,'まとめ（登園）'!$B:$B,0)-1,MATCH(DAY(F86),'まとめ（登園）'!$2:$2,0)-2),"")</f>
        <v/>
      </c>
      <c r="I86" s="44" t="str">
        <f ca="1">IF(A86&lt;&gt;"",OFFSET('まとめ（降園）'!$B$1,MATCH(CSVフォーム!A86,'まとめ（降園）'!$B:$B,0)-1,MATCH(DAY(F86),'まとめ（降園）'!$2:$2,0)-2),"")</f>
        <v/>
      </c>
    </row>
    <row r="87" spans="1:9" ht="17.399999999999999" customHeight="1" x14ac:dyDescent="0.5">
      <c r="A87" s="33" t="str">
        <f t="array" ref="A87">IFERROR(INDEX('まとめ（登園）'!$B$3:$B$500,INT((ROW(A86)-1)/DAY(EOMONTH(貼り付け用!$B$2&amp;"1日",0)))+1)&amp;"","")</f>
        <v/>
      </c>
      <c r="B87" s="33" t="str">
        <f>IF(A87&lt;&gt;"",VLOOKUP(A87,子どもマスタ!$A$1:$F$301,2,FALSE),"")</f>
        <v/>
      </c>
      <c r="C87" s="34" t="str">
        <f>IF(A87&lt;&gt;"",
TEXT(VALUE(REPLACE(VLOOKUP(A87,子どもマスタ!$A$1:$F$301,5,FALSE),
FIND("(",VLOOKUP(A87,子どもマスタ!$A$1:$F$301,5,FALSE)),
FIND(")",VLOOKUP(A87,子どもマスタ!$A$1:$F$301,5,FALSE))
-FIND("(",VLOOKUP(A87,子どもマスタ!$A$1:$F$301,5,FALSE))+1,"")),"yyyy/mm/dd"),"")</f>
        <v/>
      </c>
      <c r="D87" s="35"/>
      <c r="E87" s="36"/>
      <c r="F87" s="34" t="str">
        <f>IF(A87="","",VALUE(貼り付け用!$B$2&amp;"1日")+MOD(ROW(A86)-1,DAY(EOMONTH(貼り付け用!$B$2&amp;"1日",0))))</f>
        <v/>
      </c>
      <c r="G87" s="34"/>
      <c r="H87" s="44" t="str">
        <f ca="1">IF(A87&lt;&gt;"",OFFSET('まとめ（登園）'!$B$1,MATCH(CSVフォーム!A87,'まとめ（登園）'!$B:$B,0)-1,MATCH(DAY(F87),'まとめ（登園）'!$2:$2,0)-2),"")</f>
        <v/>
      </c>
      <c r="I87" s="44" t="str">
        <f ca="1">IF(A87&lt;&gt;"",OFFSET('まとめ（降園）'!$B$1,MATCH(CSVフォーム!A87,'まとめ（降園）'!$B:$B,0)-1,MATCH(DAY(F87),'まとめ（降園）'!$2:$2,0)-2),"")</f>
        <v/>
      </c>
    </row>
    <row r="88" spans="1:9" ht="17.399999999999999" customHeight="1" x14ac:dyDescent="0.5">
      <c r="A88" s="33" t="str">
        <f t="array" ref="A88">IFERROR(INDEX('まとめ（登園）'!$B$3:$B$500,INT((ROW(A87)-1)/DAY(EOMONTH(貼り付け用!$B$2&amp;"1日",0)))+1)&amp;"","")</f>
        <v/>
      </c>
      <c r="B88" s="33" t="str">
        <f>IF(A88&lt;&gt;"",VLOOKUP(A88,子どもマスタ!$A$1:$F$301,2,FALSE),"")</f>
        <v/>
      </c>
      <c r="C88" s="34" t="str">
        <f>IF(A88&lt;&gt;"",
TEXT(VALUE(REPLACE(VLOOKUP(A88,子どもマスタ!$A$1:$F$301,5,FALSE),
FIND("(",VLOOKUP(A88,子どもマスタ!$A$1:$F$301,5,FALSE)),
FIND(")",VLOOKUP(A88,子どもマスタ!$A$1:$F$301,5,FALSE))
-FIND("(",VLOOKUP(A88,子どもマスタ!$A$1:$F$301,5,FALSE))+1,"")),"yyyy/mm/dd"),"")</f>
        <v/>
      </c>
      <c r="D88" s="35"/>
      <c r="E88" s="36"/>
      <c r="F88" s="34" t="str">
        <f>IF(A88="","",VALUE(貼り付け用!$B$2&amp;"1日")+MOD(ROW(A87)-1,DAY(EOMONTH(貼り付け用!$B$2&amp;"1日",0))))</f>
        <v/>
      </c>
      <c r="G88" s="34"/>
      <c r="H88" s="44" t="str">
        <f ca="1">IF(A88&lt;&gt;"",OFFSET('まとめ（登園）'!$B$1,MATCH(CSVフォーム!A88,'まとめ（登園）'!$B:$B,0)-1,MATCH(DAY(F88),'まとめ（登園）'!$2:$2,0)-2),"")</f>
        <v/>
      </c>
      <c r="I88" s="44" t="str">
        <f ca="1">IF(A88&lt;&gt;"",OFFSET('まとめ（降園）'!$B$1,MATCH(CSVフォーム!A88,'まとめ（降園）'!$B:$B,0)-1,MATCH(DAY(F88),'まとめ（降園）'!$2:$2,0)-2),"")</f>
        <v/>
      </c>
    </row>
    <row r="89" spans="1:9" ht="17.399999999999999" customHeight="1" x14ac:dyDescent="0.5">
      <c r="A89" s="33" t="str">
        <f t="array" ref="A89">IFERROR(INDEX('まとめ（登園）'!$B$3:$B$500,INT((ROW(A88)-1)/DAY(EOMONTH(貼り付け用!$B$2&amp;"1日",0)))+1)&amp;"","")</f>
        <v/>
      </c>
      <c r="B89" s="33" t="str">
        <f>IF(A89&lt;&gt;"",VLOOKUP(A89,子どもマスタ!$A$1:$F$301,2,FALSE),"")</f>
        <v/>
      </c>
      <c r="C89" s="34" t="str">
        <f>IF(A89&lt;&gt;"",
TEXT(VALUE(REPLACE(VLOOKUP(A89,子どもマスタ!$A$1:$F$301,5,FALSE),
FIND("(",VLOOKUP(A89,子どもマスタ!$A$1:$F$301,5,FALSE)),
FIND(")",VLOOKUP(A89,子どもマスタ!$A$1:$F$301,5,FALSE))
-FIND("(",VLOOKUP(A89,子どもマスタ!$A$1:$F$301,5,FALSE))+1,"")),"yyyy/mm/dd"),"")</f>
        <v/>
      </c>
      <c r="D89" s="35"/>
      <c r="E89" s="36"/>
      <c r="F89" s="34" t="str">
        <f>IF(A89="","",VALUE(貼り付け用!$B$2&amp;"1日")+MOD(ROW(A88)-1,DAY(EOMONTH(貼り付け用!$B$2&amp;"1日",0))))</f>
        <v/>
      </c>
      <c r="G89" s="34"/>
      <c r="H89" s="44" t="str">
        <f ca="1">IF(A89&lt;&gt;"",OFFSET('まとめ（登園）'!$B$1,MATCH(CSVフォーム!A89,'まとめ（登園）'!$B:$B,0)-1,MATCH(DAY(F89),'まとめ（登園）'!$2:$2,0)-2),"")</f>
        <v/>
      </c>
      <c r="I89" s="44" t="str">
        <f ca="1">IF(A89&lt;&gt;"",OFFSET('まとめ（降園）'!$B$1,MATCH(CSVフォーム!A89,'まとめ（降園）'!$B:$B,0)-1,MATCH(DAY(F89),'まとめ（降園）'!$2:$2,0)-2),"")</f>
        <v/>
      </c>
    </row>
    <row r="90" spans="1:9" ht="17.399999999999999" customHeight="1" x14ac:dyDescent="0.5">
      <c r="A90" s="33" t="str">
        <f t="array" ref="A90">IFERROR(INDEX('まとめ（登園）'!$B$3:$B$500,INT((ROW(A89)-1)/DAY(EOMONTH(貼り付け用!$B$2&amp;"1日",0)))+1)&amp;"","")</f>
        <v/>
      </c>
      <c r="B90" s="33" t="str">
        <f>IF(A90&lt;&gt;"",VLOOKUP(A90,子どもマスタ!$A$1:$F$301,2,FALSE),"")</f>
        <v/>
      </c>
      <c r="C90" s="34" t="str">
        <f>IF(A90&lt;&gt;"",
TEXT(VALUE(REPLACE(VLOOKUP(A90,子どもマスタ!$A$1:$F$301,5,FALSE),
FIND("(",VLOOKUP(A90,子どもマスタ!$A$1:$F$301,5,FALSE)),
FIND(")",VLOOKUP(A90,子どもマスタ!$A$1:$F$301,5,FALSE))
-FIND("(",VLOOKUP(A90,子どもマスタ!$A$1:$F$301,5,FALSE))+1,"")),"yyyy/mm/dd"),"")</f>
        <v/>
      </c>
      <c r="D90" s="35"/>
      <c r="E90" s="36"/>
      <c r="F90" s="34" t="str">
        <f>IF(A90="","",VALUE(貼り付け用!$B$2&amp;"1日")+MOD(ROW(A89)-1,DAY(EOMONTH(貼り付け用!$B$2&amp;"1日",0))))</f>
        <v/>
      </c>
      <c r="G90" s="34"/>
      <c r="H90" s="44" t="str">
        <f ca="1">IF(A90&lt;&gt;"",OFFSET('まとめ（登園）'!$B$1,MATCH(CSVフォーム!A90,'まとめ（登園）'!$B:$B,0)-1,MATCH(DAY(F90),'まとめ（登園）'!$2:$2,0)-2),"")</f>
        <v/>
      </c>
      <c r="I90" s="44" t="str">
        <f ca="1">IF(A90&lt;&gt;"",OFFSET('まとめ（降園）'!$B$1,MATCH(CSVフォーム!A90,'まとめ（降園）'!$B:$B,0)-1,MATCH(DAY(F90),'まとめ（降園）'!$2:$2,0)-2),"")</f>
        <v/>
      </c>
    </row>
    <row r="91" spans="1:9" ht="17.399999999999999" customHeight="1" x14ac:dyDescent="0.5">
      <c r="A91" s="33" t="str">
        <f t="array" ref="A91">IFERROR(INDEX('まとめ（登園）'!$B$3:$B$500,INT((ROW(A90)-1)/DAY(EOMONTH(貼り付け用!$B$2&amp;"1日",0)))+1)&amp;"","")</f>
        <v/>
      </c>
      <c r="B91" s="33" t="str">
        <f>IF(A91&lt;&gt;"",VLOOKUP(A91,子どもマスタ!$A$1:$F$301,2,FALSE),"")</f>
        <v/>
      </c>
      <c r="C91" s="34" t="str">
        <f>IF(A91&lt;&gt;"",
TEXT(VALUE(REPLACE(VLOOKUP(A91,子どもマスタ!$A$1:$F$301,5,FALSE),
FIND("(",VLOOKUP(A91,子どもマスタ!$A$1:$F$301,5,FALSE)),
FIND(")",VLOOKUP(A91,子どもマスタ!$A$1:$F$301,5,FALSE))
-FIND("(",VLOOKUP(A91,子どもマスタ!$A$1:$F$301,5,FALSE))+1,"")),"yyyy/mm/dd"),"")</f>
        <v/>
      </c>
      <c r="D91" s="35"/>
      <c r="E91" s="36"/>
      <c r="F91" s="34" t="str">
        <f>IF(A91="","",VALUE(貼り付け用!$B$2&amp;"1日")+MOD(ROW(A90)-1,DAY(EOMONTH(貼り付け用!$B$2&amp;"1日",0))))</f>
        <v/>
      </c>
      <c r="G91" s="34"/>
      <c r="H91" s="44" t="str">
        <f ca="1">IF(A91&lt;&gt;"",OFFSET('まとめ（登園）'!$B$1,MATCH(CSVフォーム!A91,'まとめ（登園）'!$B:$B,0)-1,MATCH(DAY(F91),'まとめ（登園）'!$2:$2,0)-2),"")</f>
        <v/>
      </c>
      <c r="I91" s="44" t="str">
        <f ca="1">IF(A91&lt;&gt;"",OFFSET('まとめ（降園）'!$B$1,MATCH(CSVフォーム!A91,'まとめ（降園）'!$B:$B,0)-1,MATCH(DAY(F91),'まとめ（降園）'!$2:$2,0)-2),"")</f>
        <v/>
      </c>
    </row>
    <row r="92" spans="1:9" ht="17.399999999999999" customHeight="1" x14ac:dyDescent="0.5">
      <c r="A92" s="33" t="str">
        <f t="array" ref="A92">IFERROR(INDEX('まとめ（登園）'!$B$3:$B$500,INT((ROW(A91)-1)/DAY(EOMONTH(貼り付け用!$B$2&amp;"1日",0)))+1)&amp;"","")</f>
        <v/>
      </c>
      <c r="B92" s="33" t="str">
        <f>IF(A92&lt;&gt;"",VLOOKUP(A92,子どもマスタ!$A$1:$F$301,2,FALSE),"")</f>
        <v/>
      </c>
      <c r="C92" s="34" t="str">
        <f>IF(A92&lt;&gt;"",
TEXT(VALUE(REPLACE(VLOOKUP(A92,子どもマスタ!$A$1:$F$301,5,FALSE),
FIND("(",VLOOKUP(A92,子どもマスタ!$A$1:$F$301,5,FALSE)),
FIND(")",VLOOKUP(A92,子どもマスタ!$A$1:$F$301,5,FALSE))
-FIND("(",VLOOKUP(A92,子どもマスタ!$A$1:$F$301,5,FALSE))+1,"")),"yyyy/mm/dd"),"")</f>
        <v/>
      </c>
      <c r="D92" s="35"/>
      <c r="E92" s="36"/>
      <c r="F92" s="34" t="str">
        <f>IF(A92="","",VALUE(貼り付け用!$B$2&amp;"1日")+MOD(ROW(A91)-1,DAY(EOMONTH(貼り付け用!$B$2&amp;"1日",0))))</f>
        <v/>
      </c>
      <c r="G92" s="34"/>
      <c r="H92" s="44" t="str">
        <f ca="1">IF(A92&lt;&gt;"",OFFSET('まとめ（登園）'!$B$1,MATCH(CSVフォーム!A92,'まとめ（登園）'!$B:$B,0)-1,MATCH(DAY(F92),'まとめ（登園）'!$2:$2,0)-2),"")</f>
        <v/>
      </c>
      <c r="I92" s="44" t="str">
        <f ca="1">IF(A92&lt;&gt;"",OFFSET('まとめ（降園）'!$B$1,MATCH(CSVフォーム!A92,'まとめ（降園）'!$B:$B,0)-1,MATCH(DAY(F92),'まとめ（降園）'!$2:$2,0)-2),"")</f>
        <v/>
      </c>
    </row>
    <row r="93" spans="1:9" ht="17.399999999999999" customHeight="1" x14ac:dyDescent="0.5">
      <c r="A93" s="33" t="str">
        <f t="array" ref="A93">IFERROR(INDEX('まとめ（登園）'!$B$3:$B$500,INT((ROW(A92)-1)/DAY(EOMONTH(貼り付け用!$B$2&amp;"1日",0)))+1)&amp;"","")</f>
        <v/>
      </c>
      <c r="B93" s="33" t="str">
        <f>IF(A93&lt;&gt;"",VLOOKUP(A93,子どもマスタ!$A$1:$F$301,2,FALSE),"")</f>
        <v/>
      </c>
      <c r="C93" s="34" t="str">
        <f>IF(A93&lt;&gt;"",
TEXT(VALUE(REPLACE(VLOOKUP(A93,子どもマスタ!$A$1:$F$301,5,FALSE),
FIND("(",VLOOKUP(A93,子どもマスタ!$A$1:$F$301,5,FALSE)),
FIND(")",VLOOKUP(A93,子どもマスタ!$A$1:$F$301,5,FALSE))
-FIND("(",VLOOKUP(A93,子どもマスタ!$A$1:$F$301,5,FALSE))+1,"")),"yyyy/mm/dd"),"")</f>
        <v/>
      </c>
      <c r="D93" s="35"/>
      <c r="E93" s="36"/>
      <c r="F93" s="34" t="str">
        <f>IF(A93="","",VALUE(貼り付け用!$B$2&amp;"1日")+MOD(ROW(A92)-1,DAY(EOMONTH(貼り付け用!$B$2&amp;"1日",0))))</f>
        <v/>
      </c>
      <c r="G93" s="34"/>
      <c r="H93" s="44" t="str">
        <f ca="1">IF(A93&lt;&gt;"",OFFSET('まとめ（登園）'!$B$1,MATCH(CSVフォーム!A93,'まとめ（登園）'!$B:$B,0)-1,MATCH(DAY(F93),'まとめ（登園）'!$2:$2,0)-2),"")</f>
        <v/>
      </c>
      <c r="I93" s="44" t="str">
        <f ca="1">IF(A93&lt;&gt;"",OFFSET('まとめ（降園）'!$B$1,MATCH(CSVフォーム!A93,'まとめ（降園）'!$B:$B,0)-1,MATCH(DAY(F93),'まとめ（降園）'!$2:$2,0)-2),"")</f>
        <v/>
      </c>
    </row>
    <row r="94" spans="1:9" ht="17.399999999999999" customHeight="1" x14ac:dyDescent="0.5">
      <c r="A94" s="33" t="str">
        <f t="array" ref="A94">IFERROR(INDEX('まとめ（登園）'!$B$3:$B$500,INT((ROW(A93)-1)/DAY(EOMONTH(貼り付け用!$B$2&amp;"1日",0)))+1)&amp;"","")</f>
        <v/>
      </c>
      <c r="B94" s="33" t="str">
        <f>IF(A94&lt;&gt;"",VLOOKUP(A94,子どもマスタ!$A$1:$F$301,2,FALSE),"")</f>
        <v/>
      </c>
      <c r="C94" s="34" t="str">
        <f>IF(A94&lt;&gt;"",
TEXT(VALUE(REPLACE(VLOOKUP(A94,子どもマスタ!$A$1:$F$301,5,FALSE),
FIND("(",VLOOKUP(A94,子どもマスタ!$A$1:$F$301,5,FALSE)),
FIND(")",VLOOKUP(A94,子どもマスタ!$A$1:$F$301,5,FALSE))
-FIND("(",VLOOKUP(A94,子どもマスタ!$A$1:$F$301,5,FALSE))+1,"")),"yyyy/mm/dd"),"")</f>
        <v/>
      </c>
      <c r="D94" s="35"/>
      <c r="E94" s="36"/>
      <c r="F94" s="34" t="str">
        <f>IF(A94="","",VALUE(貼り付け用!$B$2&amp;"1日")+MOD(ROW(A93)-1,DAY(EOMONTH(貼り付け用!$B$2&amp;"1日",0))))</f>
        <v/>
      </c>
      <c r="G94" s="34"/>
      <c r="H94" s="44" t="str">
        <f ca="1">IF(A94&lt;&gt;"",OFFSET('まとめ（登園）'!$B$1,MATCH(CSVフォーム!A94,'まとめ（登園）'!$B:$B,0)-1,MATCH(DAY(F94),'まとめ（登園）'!$2:$2,0)-2),"")</f>
        <v/>
      </c>
      <c r="I94" s="44" t="str">
        <f ca="1">IF(A94&lt;&gt;"",OFFSET('まとめ（降園）'!$B$1,MATCH(CSVフォーム!A94,'まとめ（降園）'!$B:$B,0)-1,MATCH(DAY(F94),'まとめ（降園）'!$2:$2,0)-2),"")</f>
        <v/>
      </c>
    </row>
    <row r="95" spans="1:9" ht="17.399999999999999" customHeight="1" x14ac:dyDescent="0.5">
      <c r="A95" s="33" t="str">
        <f t="array" ref="A95">IFERROR(INDEX('まとめ（登園）'!$B$3:$B$500,INT((ROW(A94)-1)/DAY(EOMONTH(貼り付け用!$B$2&amp;"1日",0)))+1)&amp;"","")</f>
        <v/>
      </c>
      <c r="B95" s="33" t="str">
        <f>IF(A95&lt;&gt;"",VLOOKUP(A95,子どもマスタ!$A$1:$F$301,2,FALSE),"")</f>
        <v/>
      </c>
      <c r="C95" s="34" t="str">
        <f>IF(A95&lt;&gt;"",
TEXT(VALUE(REPLACE(VLOOKUP(A95,子どもマスタ!$A$1:$F$301,5,FALSE),
FIND("(",VLOOKUP(A95,子どもマスタ!$A$1:$F$301,5,FALSE)),
FIND(")",VLOOKUP(A95,子どもマスタ!$A$1:$F$301,5,FALSE))
-FIND("(",VLOOKUP(A95,子どもマスタ!$A$1:$F$301,5,FALSE))+1,"")),"yyyy/mm/dd"),"")</f>
        <v/>
      </c>
      <c r="D95" s="35"/>
      <c r="E95" s="36"/>
      <c r="F95" s="34" t="str">
        <f>IF(A95="","",VALUE(貼り付け用!$B$2&amp;"1日")+MOD(ROW(A94)-1,DAY(EOMONTH(貼り付け用!$B$2&amp;"1日",0))))</f>
        <v/>
      </c>
      <c r="G95" s="34"/>
      <c r="H95" s="44" t="str">
        <f ca="1">IF(A95&lt;&gt;"",OFFSET('まとめ（登園）'!$B$1,MATCH(CSVフォーム!A95,'まとめ（登園）'!$B:$B,0)-1,MATCH(DAY(F95),'まとめ（登園）'!$2:$2,0)-2),"")</f>
        <v/>
      </c>
      <c r="I95" s="44" t="str">
        <f ca="1">IF(A95&lt;&gt;"",OFFSET('まとめ（降園）'!$B$1,MATCH(CSVフォーム!A95,'まとめ（降園）'!$B:$B,0)-1,MATCH(DAY(F95),'まとめ（降園）'!$2:$2,0)-2),"")</f>
        <v/>
      </c>
    </row>
    <row r="96" spans="1:9" ht="17.399999999999999" customHeight="1" x14ac:dyDescent="0.5">
      <c r="A96" s="33" t="str">
        <f t="array" ref="A96">IFERROR(INDEX('まとめ（登園）'!$B$3:$B$500,INT((ROW(A95)-1)/DAY(EOMONTH(貼り付け用!$B$2&amp;"1日",0)))+1)&amp;"","")</f>
        <v/>
      </c>
      <c r="B96" s="33" t="str">
        <f>IF(A96&lt;&gt;"",VLOOKUP(A96,子どもマスタ!$A$1:$F$301,2,FALSE),"")</f>
        <v/>
      </c>
      <c r="C96" s="34" t="str">
        <f>IF(A96&lt;&gt;"",
TEXT(VALUE(REPLACE(VLOOKUP(A96,子どもマスタ!$A$1:$F$301,5,FALSE),
FIND("(",VLOOKUP(A96,子どもマスタ!$A$1:$F$301,5,FALSE)),
FIND(")",VLOOKUP(A96,子どもマスタ!$A$1:$F$301,5,FALSE))
-FIND("(",VLOOKUP(A96,子どもマスタ!$A$1:$F$301,5,FALSE))+1,"")),"yyyy/mm/dd"),"")</f>
        <v/>
      </c>
      <c r="D96" s="35"/>
      <c r="E96" s="36"/>
      <c r="F96" s="34" t="str">
        <f>IF(A96="","",VALUE(貼り付け用!$B$2&amp;"1日")+MOD(ROW(A95)-1,DAY(EOMONTH(貼り付け用!$B$2&amp;"1日",0))))</f>
        <v/>
      </c>
      <c r="G96" s="34"/>
      <c r="H96" s="44" t="str">
        <f ca="1">IF(A96&lt;&gt;"",OFFSET('まとめ（登園）'!$B$1,MATCH(CSVフォーム!A96,'まとめ（登園）'!$B:$B,0)-1,MATCH(DAY(F96),'まとめ（登園）'!$2:$2,0)-2),"")</f>
        <v/>
      </c>
      <c r="I96" s="44" t="str">
        <f ca="1">IF(A96&lt;&gt;"",OFFSET('まとめ（降園）'!$B$1,MATCH(CSVフォーム!A96,'まとめ（降園）'!$B:$B,0)-1,MATCH(DAY(F96),'まとめ（降園）'!$2:$2,0)-2),"")</f>
        <v/>
      </c>
    </row>
    <row r="97" spans="1:9" ht="17.399999999999999" customHeight="1" x14ac:dyDescent="0.5">
      <c r="A97" s="33" t="str">
        <f t="array" ref="A97">IFERROR(INDEX('まとめ（登園）'!$B$3:$B$500,INT((ROW(A96)-1)/DAY(EOMONTH(貼り付け用!$B$2&amp;"1日",0)))+1)&amp;"","")</f>
        <v/>
      </c>
      <c r="B97" s="33" t="str">
        <f>IF(A97&lt;&gt;"",VLOOKUP(A97,子どもマスタ!$A$1:$F$301,2,FALSE),"")</f>
        <v/>
      </c>
      <c r="C97" s="34" t="str">
        <f>IF(A97&lt;&gt;"",
TEXT(VALUE(REPLACE(VLOOKUP(A97,子どもマスタ!$A$1:$F$301,5,FALSE),
FIND("(",VLOOKUP(A97,子どもマスタ!$A$1:$F$301,5,FALSE)),
FIND(")",VLOOKUP(A97,子どもマスタ!$A$1:$F$301,5,FALSE))
-FIND("(",VLOOKUP(A97,子どもマスタ!$A$1:$F$301,5,FALSE))+1,"")),"yyyy/mm/dd"),"")</f>
        <v/>
      </c>
      <c r="D97" s="35"/>
      <c r="E97" s="36"/>
      <c r="F97" s="34" t="str">
        <f>IF(A97="","",VALUE(貼り付け用!$B$2&amp;"1日")+MOD(ROW(A96)-1,DAY(EOMONTH(貼り付け用!$B$2&amp;"1日",0))))</f>
        <v/>
      </c>
      <c r="G97" s="34"/>
      <c r="H97" s="44" t="str">
        <f ca="1">IF(A97&lt;&gt;"",OFFSET('まとめ（登園）'!$B$1,MATCH(CSVフォーム!A97,'まとめ（登園）'!$B:$B,0)-1,MATCH(DAY(F97),'まとめ（登園）'!$2:$2,0)-2),"")</f>
        <v/>
      </c>
      <c r="I97" s="44" t="str">
        <f ca="1">IF(A97&lt;&gt;"",OFFSET('まとめ（降園）'!$B$1,MATCH(CSVフォーム!A97,'まとめ（降園）'!$B:$B,0)-1,MATCH(DAY(F97),'まとめ（降園）'!$2:$2,0)-2),"")</f>
        <v/>
      </c>
    </row>
    <row r="98" spans="1:9" ht="17.399999999999999" customHeight="1" x14ac:dyDescent="0.5">
      <c r="A98" s="33" t="str">
        <f t="array" ref="A98">IFERROR(INDEX('まとめ（登園）'!$B$3:$B$500,INT((ROW(A97)-1)/DAY(EOMONTH(貼り付け用!$B$2&amp;"1日",0)))+1)&amp;"","")</f>
        <v/>
      </c>
      <c r="B98" s="33" t="str">
        <f>IF(A98&lt;&gt;"",VLOOKUP(A98,子どもマスタ!$A$1:$F$301,2,FALSE),"")</f>
        <v/>
      </c>
      <c r="C98" s="34" t="str">
        <f>IF(A98&lt;&gt;"",
TEXT(VALUE(REPLACE(VLOOKUP(A98,子どもマスタ!$A$1:$F$301,5,FALSE),
FIND("(",VLOOKUP(A98,子どもマスタ!$A$1:$F$301,5,FALSE)),
FIND(")",VLOOKUP(A98,子どもマスタ!$A$1:$F$301,5,FALSE))
-FIND("(",VLOOKUP(A98,子どもマスタ!$A$1:$F$301,5,FALSE))+1,"")),"yyyy/mm/dd"),"")</f>
        <v/>
      </c>
      <c r="D98" s="35"/>
      <c r="E98" s="36"/>
      <c r="F98" s="34" t="str">
        <f>IF(A98="","",VALUE(貼り付け用!$B$2&amp;"1日")+MOD(ROW(A97)-1,DAY(EOMONTH(貼り付け用!$B$2&amp;"1日",0))))</f>
        <v/>
      </c>
      <c r="G98" s="34"/>
      <c r="H98" s="44" t="str">
        <f ca="1">IF(A98&lt;&gt;"",OFFSET('まとめ（登園）'!$B$1,MATCH(CSVフォーム!A98,'まとめ（登園）'!$B:$B,0)-1,MATCH(DAY(F98),'まとめ（登園）'!$2:$2,0)-2),"")</f>
        <v/>
      </c>
      <c r="I98" s="44" t="str">
        <f ca="1">IF(A98&lt;&gt;"",OFFSET('まとめ（降園）'!$B$1,MATCH(CSVフォーム!A98,'まとめ（降園）'!$B:$B,0)-1,MATCH(DAY(F98),'まとめ（降園）'!$2:$2,0)-2),"")</f>
        <v/>
      </c>
    </row>
    <row r="99" spans="1:9" ht="17.399999999999999" customHeight="1" x14ac:dyDescent="0.5">
      <c r="A99" s="33" t="str">
        <f t="array" ref="A99">IFERROR(INDEX('まとめ（登園）'!$B$3:$B$500,INT((ROW(A98)-1)/DAY(EOMONTH(貼り付け用!$B$2&amp;"1日",0)))+1)&amp;"","")</f>
        <v/>
      </c>
      <c r="B99" s="33" t="str">
        <f>IF(A99&lt;&gt;"",VLOOKUP(A99,子どもマスタ!$A$1:$F$301,2,FALSE),"")</f>
        <v/>
      </c>
      <c r="C99" s="34" t="str">
        <f>IF(A99&lt;&gt;"",
TEXT(VALUE(REPLACE(VLOOKUP(A99,子どもマスタ!$A$1:$F$301,5,FALSE),
FIND("(",VLOOKUP(A99,子どもマスタ!$A$1:$F$301,5,FALSE)),
FIND(")",VLOOKUP(A99,子どもマスタ!$A$1:$F$301,5,FALSE))
-FIND("(",VLOOKUP(A99,子どもマスタ!$A$1:$F$301,5,FALSE))+1,"")),"yyyy/mm/dd"),"")</f>
        <v/>
      </c>
      <c r="D99" s="35"/>
      <c r="E99" s="36"/>
      <c r="F99" s="34" t="str">
        <f>IF(A99="","",VALUE(貼り付け用!$B$2&amp;"1日")+MOD(ROW(A98)-1,DAY(EOMONTH(貼り付け用!$B$2&amp;"1日",0))))</f>
        <v/>
      </c>
      <c r="G99" s="34"/>
      <c r="H99" s="44" t="str">
        <f ca="1">IF(A99&lt;&gt;"",OFFSET('まとめ（登園）'!$B$1,MATCH(CSVフォーム!A99,'まとめ（登園）'!$B:$B,0)-1,MATCH(DAY(F99),'まとめ（登園）'!$2:$2,0)-2),"")</f>
        <v/>
      </c>
      <c r="I99" s="44" t="str">
        <f ca="1">IF(A99&lt;&gt;"",OFFSET('まとめ（降園）'!$B$1,MATCH(CSVフォーム!A99,'まとめ（降園）'!$B:$B,0)-1,MATCH(DAY(F99),'まとめ（降園）'!$2:$2,0)-2),"")</f>
        <v/>
      </c>
    </row>
    <row r="100" spans="1:9" ht="17.399999999999999" customHeight="1" x14ac:dyDescent="0.5">
      <c r="A100" s="33" t="str">
        <f t="array" ref="A100">IFERROR(INDEX('まとめ（登園）'!$B$3:$B$500,INT((ROW(A99)-1)/DAY(EOMONTH(貼り付け用!$B$2&amp;"1日",0)))+1)&amp;"","")</f>
        <v/>
      </c>
      <c r="B100" s="33" t="str">
        <f>IF(A100&lt;&gt;"",VLOOKUP(A100,子どもマスタ!$A$1:$F$301,2,FALSE),"")</f>
        <v/>
      </c>
      <c r="C100" s="34" t="str">
        <f>IF(A100&lt;&gt;"",
TEXT(VALUE(REPLACE(VLOOKUP(A100,子どもマスタ!$A$1:$F$301,5,FALSE),
FIND("(",VLOOKUP(A100,子どもマスタ!$A$1:$F$301,5,FALSE)),
FIND(")",VLOOKUP(A100,子どもマスタ!$A$1:$F$301,5,FALSE))
-FIND("(",VLOOKUP(A100,子どもマスタ!$A$1:$F$301,5,FALSE))+1,"")),"yyyy/mm/dd"),"")</f>
        <v/>
      </c>
      <c r="D100" s="35"/>
      <c r="E100" s="36"/>
      <c r="F100" s="34" t="str">
        <f>IF(A100="","",VALUE(貼り付け用!$B$2&amp;"1日")+MOD(ROW(A99)-1,DAY(EOMONTH(貼り付け用!$B$2&amp;"1日",0))))</f>
        <v/>
      </c>
      <c r="G100" s="34"/>
      <c r="H100" s="44" t="str">
        <f ca="1">IF(A100&lt;&gt;"",OFFSET('まとめ（登園）'!$B$1,MATCH(CSVフォーム!A100,'まとめ（登園）'!$B:$B,0)-1,MATCH(DAY(F100),'まとめ（登園）'!$2:$2,0)-2),"")</f>
        <v/>
      </c>
      <c r="I100" s="44" t="str">
        <f ca="1">IF(A100&lt;&gt;"",OFFSET('まとめ（降園）'!$B$1,MATCH(CSVフォーム!A100,'まとめ（降園）'!$B:$B,0)-1,MATCH(DAY(F100),'まとめ（降園）'!$2:$2,0)-2),"")</f>
        <v/>
      </c>
    </row>
    <row r="101" spans="1:9" ht="17.399999999999999" customHeight="1" x14ac:dyDescent="0.5">
      <c r="A101" s="33" t="str">
        <f t="array" ref="A101">IFERROR(INDEX('まとめ（登園）'!$B$3:$B$500,INT((ROW(A100)-1)/DAY(EOMONTH(貼り付け用!$B$2&amp;"1日",0)))+1)&amp;"","")</f>
        <v/>
      </c>
      <c r="B101" s="33" t="str">
        <f>IF(A101&lt;&gt;"",VLOOKUP(A101,子どもマスタ!$A$1:$F$301,2,FALSE),"")</f>
        <v/>
      </c>
      <c r="C101" s="34" t="str">
        <f>IF(A101&lt;&gt;"",
TEXT(VALUE(REPLACE(VLOOKUP(A101,子どもマスタ!$A$1:$F$301,5,FALSE),
FIND("(",VLOOKUP(A101,子どもマスタ!$A$1:$F$301,5,FALSE)),
FIND(")",VLOOKUP(A101,子どもマスタ!$A$1:$F$301,5,FALSE))
-FIND("(",VLOOKUP(A101,子どもマスタ!$A$1:$F$301,5,FALSE))+1,"")),"yyyy/mm/dd"),"")</f>
        <v/>
      </c>
      <c r="D101" s="35"/>
      <c r="E101" s="36"/>
      <c r="F101" s="34" t="str">
        <f>IF(A101="","",VALUE(貼り付け用!$B$2&amp;"1日")+MOD(ROW(A100)-1,DAY(EOMONTH(貼り付け用!$B$2&amp;"1日",0))))</f>
        <v/>
      </c>
      <c r="G101" s="34"/>
      <c r="H101" s="44" t="str">
        <f ca="1">IF(A101&lt;&gt;"",OFFSET('まとめ（登園）'!$B$1,MATCH(CSVフォーム!A101,'まとめ（登園）'!$B:$B,0)-1,MATCH(DAY(F101),'まとめ（登園）'!$2:$2,0)-2),"")</f>
        <v/>
      </c>
      <c r="I101" s="44" t="str">
        <f ca="1">IF(A101&lt;&gt;"",OFFSET('まとめ（降園）'!$B$1,MATCH(CSVフォーム!A101,'まとめ（降園）'!$B:$B,0)-1,MATCH(DAY(F101),'まとめ（降園）'!$2:$2,0)-2),"")</f>
        <v/>
      </c>
    </row>
    <row r="102" spans="1:9" ht="17.399999999999999" customHeight="1" x14ac:dyDescent="0.5">
      <c r="A102" s="33" t="str">
        <f t="array" ref="A102">IFERROR(INDEX('まとめ（登園）'!$B$3:$B$500,INT((ROW(A101)-1)/DAY(EOMONTH(貼り付け用!$B$2&amp;"1日",0)))+1)&amp;"","")</f>
        <v/>
      </c>
      <c r="B102" s="33" t="str">
        <f>IF(A102&lt;&gt;"",VLOOKUP(A102,子どもマスタ!$A$1:$F$301,2,FALSE),"")</f>
        <v/>
      </c>
      <c r="C102" s="34" t="str">
        <f>IF(A102&lt;&gt;"",
TEXT(VALUE(REPLACE(VLOOKUP(A102,子どもマスタ!$A$1:$F$301,5,FALSE),
FIND("(",VLOOKUP(A102,子どもマスタ!$A$1:$F$301,5,FALSE)),
FIND(")",VLOOKUP(A102,子どもマスタ!$A$1:$F$301,5,FALSE))
-FIND("(",VLOOKUP(A102,子どもマスタ!$A$1:$F$301,5,FALSE))+1,"")),"yyyy/mm/dd"),"")</f>
        <v/>
      </c>
      <c r="D102" s="35"/>
      <c r="E102" s="36"/>
      <c r="F102" s="34" t="str">
        <f>IF(A102="","",VALUE(貼り付け用!$B$2&amp;"1日")+MOD(ROW(A101)-1,DAY(EOMONTH(貼り付け用!$B$2&amp;"1日",0))))</f>
        <v/>
      </c>
      <c r="G102" s="34"/>
      <c r="H102" s="44" t="str">
        <f ca="1">IF(A102&lt;&gt;"",OFFSET('まとめ（登園）'!$B$1,MATCH(CSVフォーム!A102,'まとめ（登園）'!$B:$B,0)-1,MATCH(DAY(F102),'まとめ（登園）'!$2:$2,0)-2),"")</f>
        <v/>
      </c>
      <c r="I102" s="44" t="str">
        <f ca="1">IF(A102&lt;&gt;"",OFFSET('まとめ（降園）'!$B$1,MATCH(CSVフォーム!A102,'まとめ（降園）'!$B:$B,0)-1,MATCH(DAY(F102),'まとめ（降園）'!$2:$2,0)-2),"")</f>
        <v/>
      </c>
    </row>
    <row r="103" spans="1:9" ht="17.399999999999999" customHeight="1" x14ac:dyDescent="0.5">
      <c r="A103" s="33" t="str">
        <f t="array" ref="A103">IFERROR(INDEX('まとめ（登園）'!$B$3:$B$500,INT((ROW(A102)-1)/DAY(EOMONTH(貼り付け用!$B$2&amp;"1日",0)))+1)&amp;"","")</f>
        <v/>
      </c>
      <c r="B103" s="33" t="str">
        <f>IF(A103&lt;&gt;"",VLOOKUP(A103,子どもマスタ!$A$1:$F$301,2,FALSE),"")</f>
        <v/>
      </c>
      <c r="C103" s="34" t="str">
        <f>IF(A103&lt;&gt;"",
TEXT(VALUE(REPLACE(VLOOKUP(A103,子どもマスタ!$A$1:$F$301,5,FALSE),
FIND("(",VLOOKUP(A103,子どもマスタ!$A$1:$F$301,5,FALSE)),
FIND(")",VLOOKUP(A103,子どもマスタ!$A$1:$F$301,5,FALSE))
-FIND("(",VLOOKUP(A103,子どもマスタ!$A$1:$F$301,5,FALSE))+1,"")),"yyyy/mm/dd"),"")</f>
        <v/>
      </c>
      <c r="D103" s="35"/>
      <c r="E103" s="36"/>
      <c r="F103" s="34" t="str">
        <f>IF(A103="","",VALUE(貼り付け用!$B$2&amp;"1日")+MOD(ROW(A102)-1,DAY(EOMONTH(貼り付け用!$B$2&amp;"1日",0))))</f>
        <v/>
      </c>
      <c r="G103" s="34"/>
      <c r="H103" s="44" t="str">
        <f ca="1">IF(A103&lt;&gt;"",OFFSET('まとめ（登園）'!$B$1,MATCH(CSVフォーム!A103,'まとめ（登園）'!$B:$B,0)-1,MATCH(DAY(F103),'まとめ（登園）'!$2:$2,0)-2),"")</f>
        <v/>
      </c>
      <c r="I103" s="44" t="str">
        <f ca="1">IF(A103&lt;&gt;"",OFFSET('まとめ（降園）'!$B$1,MATCH(CSVフォーム!A103,'まとめ（降園）'!$B:$B,0)-1,MATCH(DAY(F103),'まとめ（降園）'!$2:$2,0)-2),"")</f>
        <v/>
      </c>
    </row>
    <row r="104" spans="1:9" ht="17.399999999999999" customHeight="1" x14ac:dyDescent="0.5">
      <c r="A104" s="33" t="str">
        <f t="array" ref="A104">IFERROR(INDEX('まとめ（登園）'!$B$3:$B$500,INT((ROW(A103)-1)/DAY(EOMONTH(貼り付け用!$B$2&amp;"1日",0)))+1)&amp;"","")</f>
        <v/>
      </c>
      <c r="B104" s="33" t="str">
        <f>IF(A104&lt;&gt;"",VLOOKUP(A104,子どもマスタ!$A$1:$F$301,2,FALSE),"")</f>
        <v/>
      </c>
      <c r="C104" s="34" t="str">
        <f>IF(A104&lt;&gt;"",
TEXT(VALUE(REPLACE(VLOOKUP(A104,子どもマスタ!$A$1:$F$301,5,FALSE),
FIND("(",VLOOKUP(A104,子どもマスタ!$A$1:$F$301,5,FALSE)),
FIND(")",VLOOKUP(A104,子どもマスタ!$A$1:$F$301,5,FALSE))
-FIND("(",VLOOKUP(A104,子どもマスタ!$A$1:$F$301,5,FALSE))+1,"")),"yyyy/mm/dd"),"")</f>
        <v/>
      </c>
      <c r="D104" s="35"/>
      <c r="E104" s="36"/>
      <c r="F104" s="34" t="str">
        <f>IF(A104="","",VALUE(貼り付け用!$B$2&amp;"1日")+MOD(ROW(A103)-1,DAY(EOMONTH(貼り付け用!$B$2&amp;"1日",0))))</f>
        <v/>
      </c>
      <c r="G104" s="34"/>
      <c r="H104" s="44" t="str">
        <f ca="1">IF(A104&lt;&gt;"",OFFSET('まとめ（登園）'!$B$1,MATCH(CSVフォーム!A104,'まとめ（登園）'!$B:$B,0)-1,MATCH(DAY(F104),'まとめ（登園）'!$2:$2,0)-2),"")</f>
        <v/>
      </c>
      <c r="I104" s="44" t="str">
        <f ca="1">IF(A104&lt;&gt;"",OFFSET('まとめ（降園）'!$B$1,MATCH(CSVフォーム!A104,'まとめ（降園）'!$B:$B,0)-1,MATCH(DAY(F104),'まとめ（降園）'!$2:$2,0)-2),"")</f>
        <v/>
      </c>
    </row>
    <row r="105" spans="1:9" ht="17.399999999999999" customHeight="1" x14ac:dyDescent="0.5">
      <c r="A105" s="33" t="str">
        <f t="array" ref="A105">IFERROR(INDEX('まとめ（登園）'!$B$3:$B$500,INT((ROW(A104)-1)/DAY(EOMONTH(貼り付け用!$B$2&amp;"1日",0)))+1)&amp;"","")</f>
        <v/>
      </c>
      <c r="B105" s="33" t="str">
        <f>IF(A105&lt;&gt;"",VLOOKUP(A105,子どもマスタ!$A$1:$F$301,2,FALSE),"")</f>
        <v/>
      </c>
      <c r="C105" s="34" t="str">
        <f>IF(A105&lt;&gt;"",
TEXT(VALUE(REPLACE(VLOOKUP(A105,子どもマスタ!$A$1:$F$301,5,FALSE),
FIND("(",VLOOKUP(A105,子どもマスタ!$A$1:$F$301,5,FALSE)),
FIND(")",VLOOKUP(A105,子どもマスタ!$A$1:$F$301,5,FALSE))
-FIND("(",VLOOKUP(A105,子どもマスタ!$A$1:$F$301,5,FALSE))+1,"")),"yyyy/mm/dd"),"")</f>
        <v/>
      </c>
      <c r="D105" s="35"/>
      <c r="E105" s="36"/>
      <c r="F105" s="34" t="str">
        <f>IF(A105="","",VALUE(貼り付け用!$B$2&amp;"1日")+MOD(ROW(A104)-1,DAY(EOMONTH(貼り付け用!$B$2&amp;"1日",0))))</f>
        <v/>
      </c>
      <c r="G105" s="34"/>
      <c r="H105" s="44" t="str">
        <f ca="1">IF(A105&lt;&gt;"",OFFSET('まとめ（登園）'!$B$1,MATCH(CSVフォーム!A105,'まとめ（登園）'!$B:$B,0)-1,MATCH(DAY(F105),'まとめ（登園）'!$2:$2,0)-2),"")</f>
        <v/>
      </c>
      <c r="I105" s="44" t="str">
        <f ca="1">IF(A105&lt;&gt;"",OFFSET('まとめ（降園）'!$B$1,MATCH(CSVフォーム!A105,'まとめ（降園）'!$B:$B,0)-1,MATCH(DAY(F105),'まとめ（降園）'!$2:$2,0)-2),"")</f>
        <v/>
      </c>
    </row>
    <row r="106" spans="1:9" ht="17.399999999999999" customHeight="1" x14ac:dyDescent="0.5">
      <c r="A106" s="33" t="str">
        <f t="array" ref="A106">IFERROR(INDEX('まとめ（登園）'!$B$3:$B$500,INT((ROW(A105)-1)/DAY(EOMONTH(貼り付け用!$B$2&amp;"1日",0)))+1)&amp;"","")</f>
        <v/>
      </c>
      <c r="B106" s="33" t="str">
        <f>IF(A106&lt;&gt;"",VLOOKUP(A106,子どもマスタ!$A$1:$F$301,2,FALSE),"")</f>
        <v/>
      </c>
      <c r="C106" s="34" t="str">
        <f>IF(A106&lt;&gt;"",
TEXT(VALUE(REPLACE(VLOOKUP(A106,子どもマスタ!$A$1:$F$301,5,FALSE),
FIND("(",VLOOKUP(A106,子どもマスタ!$A$1:$F$301,5,FALSE)),
FIND(")",VLOOKUP(A106,子どもマスタ!$A$1:$F$301,5,FALSE))
-FIND("(",VLOOKUP(A106,子どもマスタ!$A$1:$F$301,5,FALSE))+1,"")),"yyyy/mm/dd"),"")</f>
        <v/>
      </c>
      <c r="D106" s="35"/>
      <c r="E106" s="36"/>
      <c r="F106" s="34" t="str">
        <f>IF(A106="","",VALUE(貼り付け用!$B$2&amp;"1日")+MOD(ROW(A105)-1,DAY(EOMONTH(貼り付け用!$B$2&amp;"1日",0))))</f>
        <v/>
      </c>
      <c r="G106" s="34"/>
      <c r="H106" s="44" t="str">
        <f ca="1">IF(A106&lt;&gt;"",OFFSET('まとめ（登園）'!$B$1,MATCH(CSVフォーム!A106,'まとめ（登園）'!$B:$B,0)-1,MATCH(DAY(F106),'まとめ（登園）'!$2:$2,0)-2),"")</f>
        <v/>
      </c>
      <c r="I106" s="44" t="str">
        <f ca="1">IF(A106&lt;&gt;"",OFFSET('まとめ（降園）'!$B$1,MATCH(CSVフォーム!A106,'まとめ（降園）'!$B:$B,0)-1,MATCH(DAY(F106),'まとめ（降園）'!$2:$2,0)-2),"")</f>
        <v/>
      </c>
    </row>
    <row r="107" spans="1:9" ht="17.399999999999999" customHeight="1" x14ac:dyDescent="0.5">
      <c r="A107" s="33" t="str">
        <f t="array" ref="A107">IFERROR(INDEX('まとめ（登園）'!$B$3:$B$500,INT((ROW(A106)-1)/DAY(EOMONTH(貼り付け用!$B$2&amp;"1日",0)))+1)&amp;"","")</f>
        <v/>
      </c>
      <c r="B107" s="33" t="str">
        <f>IF(A107&lt;&gt;"",VLOOKUP(A107,子どもマスタ!$A$1:$F$301,2,FALSE),"")</f>
        <v/>
      </c>
      <c r="C107" s="34" t="str">
        <f>IF(A107&lt;&gt;"",
TEXT(VALUE(REPLACE(VLOOKUP(A107,子どもマスタ!$A$1:$F$301,5,FALSE),
FIND("(",VLOOKUP(A107,子どもマスタ!$A$1:$F$301,5,FALSE)),
FIND(")",VLOOKUP(A107,子どもマスタ!$A$1:$F$301,5,FALSE))
-FIND("(",VLOOKUP(A107,子どもマスタ!$A$1:$F$301,5,FALSE))+1,"")),"yyyy/mm/dd"),"")</f>
        <v/>
      </c>
      <c r="D107" s="35"/>
      <c r="E107" s="36"/>
      <c r="F107" s="34" t="str">
        <f>IF(A107="","",VALUE(貼り付け用!$B$2&amp;"1日")+MOD(ROW(A106)-1,DAY(EOMONTH(貼り付け用!$B$2&amp;"1日",0))))</f>
        <v/>
      </c>
      <c r="G107" s="34"/>
      <c r="H107" s="44" t="str">
        <f ca="1">IF(A107&lt;&gt;"",OFFSET('まとめ（登園）'!$B$1,MATCH(CSVフォーム!A107,'まとめ（登園）'!$B:$B,0)-1,MATCH(DAY(F107),'まとめ（登園）'!$2:$2,0)-2),"")</f>
        <v/>
      </c>
      <c r="I107" s="44" t="str">
        <f ca="1">IF(A107&lt;&gt;"",OFFSET('まとめ（降園）'!$B$1,MATCH(CSVフォーム!A107,'まとめ（降園）'!$B:$B,0)-1,MATCH(DAY(F107),'まとめ（降園）'!$2:$2,0)-2),"")</f>
        <v/>
      </c>
    </row>
    <row r="108" spans="1:9" ht="17.399999999999999" customHeight="1" x14ac:dyDescent="0.5">
      <c r="A108" s="33" t="str">
        <f t="array" ref="A108">IFERROR(INDEX('まとめ（登園）'!$B$3:$B$500,INT((ROW(A107)-1)/DAY(EOMONTH(貼り付け用!$B$2&amp;"1日",0)))+1)&amp;"","")</f>
        <v/>
      </c>
      <c r="B108" s="33" t="str">
        <f>IF(A108&lt;&gt;"",VLOOKUP(A108,子どもマスタ!$A$1:$F$301,2,FALSE),"")</f>
        <v/>
      </c>
      <c r="C108" s="34" t="str">
        <f>IF(A108&lt;&gt;"",
TEXT(VALUE(REPLACE(VLOOKUP(A108,子どもマスタ!$A$1:$F$301,5,FALSE),
FIND("(",VLOOKUP(A108,子どもマスタ!$A$1:$F$301,5,FALSE)),
FIND(")",VLOOKUP(A108,子どもマスタ!$A$1:$F$301,5,FALSE))
-FIND("(",VLOOKUP(A108,子どもマスタ!$A$1:$F$301,5,FALSE))+1,"")),"yyyy/mm/dd"),"")</f>
        <v/>
      </c>
      <c r="D108" s="35"/>
      <c r="E108" s="36"/>
      <c r="F108" s="34" t="str">
        <f>IF(A108="","",VALUE(貼り付け用!$B$2&amp;"1日")+MOD(ROW(A107)-1,DAY(EOMONTH(貼り付け用!$B$2&amp;"1日",0))))</f>
        <v/>
      </c>
      <c r="G108" s="34"/>
      <c r="H108" s="44" t="str">
        <f ca="1">IF(A108&lt;&gt;"",OFFSET('まとめ（登園）'!$B$1,MATCH(CSVフォーム!A108,'まとめ（登園）'!$B:$B,0)-1,MATCH(DAY(F108),'まとめ（登園）'!$2:$2,0)-2),"")</f>
        <v/>
      </c>
      <c r="I108" s="44" t="str">
        <f ca="1">IF(A108&lt;&gt;"",OFFSET('まとめ（降園）'!$B$1,MATCH(CSVフォーム!A108,'まとめ（降園）'!$B:$B,0)-1,MATCH(DAY(F108),'まとめ（降園）'!$2:$2,0)-2),"")</f>
        <v/>
      </c>
    </row>
    <row r="109" spans="1:9" ht="17.399999999999999" customHeight="1" x14ac:dyDescent="0.5">
      <c r="A109" s="33" t="str">
        <f t="array" ref="A109">IFERROR(INDEX('まとめ（登園）'!$B$3:$B$500,INT((ROW(A108)-1)/DAY(EOMONTH(貼り付け用!$B$2&amp;"1日",0)))+1)&amp;"","")</f>
        <v/>
      </c>
      <c r="B109" s="33" t="str">
        <f>IF(A109&lt;&gt;"",VLOOKUP(A109,子どもマスタ!$A$1:$F$301,2,FALSE),"")</f>
        <v/>
      </c>
      <c r="C109" s="34" t="str">
        <f>IF(A109&lt;&gt;"",
TEXT(VALUE(REPLACE(VLOOKUP(A109,子どもマスタ!$A$1:$F$301,5,FALSE),
FIND("(",VLOOKUP(A109,子どもマスタ!$A$1:$F$301,5,FALSE)),
FIND(")",VLOOKUP(A109,子どもマスタ!$A$1:$F$301,5,FALSE))
-FIND("(",VLOOKUP(A109,子どもマスタ!$A$1:$F$301,5,FALSE))+1,"")),"yyyy/mm/dd"),"")</f>
        <v/>
      </c>
      <c r="D109" s="35"/>
      <c r="E109" s="36"/>
      <c r="F109" s="34" t="str">
        <f>IF(A109="","",VALUE(貼り付け用!$B$2&amp;"1日")+MOD(ROW(A108)-1,DAY(EOMONTH(貼り付け用!$B$2&amp;"1日",0))))</f>
        <v/>
      </c>
      <c r="G109" s="34"/>
      <c r="H109" s="44" t="str">
        <f ca="1">IF(A109&lt;&gt;"",OFFSET('まとめ（登園）'!$B$1,MATCH(CSVフォーム!A109,'まとめ（登園）'!$B:$B,0)-1,MATCH(DAY(F109),'まとめ（登園）'!$2:$2,0)-2),"")</f>
        <v/>
      </c>
      <c r="I109" s="44" t="str">
        <f ca="1">IF(A109&lt;&gt;"",OFFSET('まとめ（降園）'!$B$1,MATCH(CSVフォーム!A109,'まとめ（降園）'!$B:$B,0)-1,MATCH(DAY(F109),'まとめ（降園）'!$2:$2,0)-2),"")</f>
        <v/>
      </c>
    </row>
    <row r="110" spans="1:9" ht="17.399999999999999" customHeight="1" x14ac:dyDescent="0.5">
      <c r="A110" s="33" t="str">
        <f t="array" ref="A110">IFERROR(INDEX('まとめ（登園）'!$B$3:$B$500,INT((ROW(A109)-1)/DAY(EOMONTH(貼り付け用!$B$2&amp;"1日",0)))+1)&amp;"","")</f>
        <v/>
      </c>
      <c r="B110" s="33" t="str">
        <f>IF(A110&lt;&gt;"",VLOOKUP(A110,子どもマスタ!$A$1:$F$301,2,FALSE),"")</f>
        <v/>
      </c>
      <c r="C110" s="34" t="str">
        <f>IF(A110&lt;&gt;"",
TEXT(VALUE(REPLACE(VLOOKUP(A110,子どもマスタ!$A$1:$F$301,5,FALSE),
FIND("(",VLOOKUP(A110,子どもマスタ!$A$1:$F$301,5,FALSE)),
FIND(")",VLOOKUP(A110,子どもマスタ!$A$1:$F$301,5,FALSE))
-FIND("(",VLOOKUP(A110,子どもマスタ!$A$1:$F$301,5,FALSE))+1,"")),"yyyy/mm/dd"),"")</f>
        <v/>
      </c>
      <c r="D110" s="35"/>
      <c r="E110" s="36"/>
      <c r="F110" s="34" t="str">
        <f>IF(A110="","",VALUE(貼り付け用!$B$2&amp;"1日")+MOD(ROW(A109)-1,DAY(EOMONTH(貼り付け用!$B$2&amp;"1日",0))))</f>
        <v/>
      </c>
      <c r="G110" s="34"/>
      <c r="H110" s="44" t="str">
        <f ca="1">IF(A110&lt;&gt;"",OFFSET('まとめ（登園）'!$B$1,MATCH(CSVフォーム!A110,'まとめ（登園）'!$B:$B,0)-1,MATCH(DAY(F110),'まとめ（登園）'!$2:$2,0)-2),"")</f>
        <v/>
      </c>
      <c r="I110" s="44" t="str">
        <f ca="1">IF(A110&lt;&gt;"",OFFSET('まとめ（降園）'!$B$1,MATCH(CSVフォーム!A110,'まとめ（降園）'!$B:$B,0)-1,MATCH(DAY(F110),'まとめ（降園）'!$2:$2,0)-2),"")</f>
        <v/>
      </c>
    </row>
    <row r="111" spans="1:9" ht="17.399999999999999" customHeight="1" x14ac:dyDescent="0.5">
      <c r="A111" s="33" t="str">
        <f t="array" ref="A111">IFERROR(INDEX('まとめ（登園）'!$B$3:$B$500,INT((ROW(A110)-1)/DAY(EOMONTH(貼り付け用!$B$2&amp;"1日",0)))+1)&amp;"","")</f>
        <v/>
      </c>
      <c r="B111" s="33" t="str">
        <f>IF(A111&lt;&gt;"",VLOOKUP(A111,子どもマスタ!$A$1:$F$301,2,FALSE),"")</f>
        <v/>
      </c>
      <c r="C111" s="34" t="str">
        <f>IF(A111&lt;&gt;"",
TEXT(VALUE(REPLACE(VLOOKUP(A111,子どもマスタ!$A$1:$F$301,5,FALSE),
FIND("(",VLOOKUP(A111,子どもマスタ!$A$1:$F$301,5,FALSE)),
FIND(")",VLOOKUP(A111,子どもマスタ!$A$1:$F$301,5,FALSE))
-FIND("(",VLOOKUP(A111,子どもマスタ!$A$1:$F$301,5,FALSE))+1,"")),"yyyy/mm/dd"),"")</f>
        <v/>
      </c>
      <c r="D111" s="35"/>
      <c r="E111" s="36"/>
      <c r="F111" s="34" t="str">
        <f>IF(A111="","",VALUE(貼り付け用!$B$2&amp;"1日")+MOD(ROW(A110)-1,DAY(EOMONTH(貼り付け用!$B$2&amp;"1日",0))))</f>
        <v/>
      </c>
      <c r="G111" s="34"/>
      <c r="H111" s="44" t="str">
        <f ca="1">IF(A111&lt;&gt;"",OFFSET('まとめ（登園）'!$B$1,MATCH(CSVフォーム!A111,'まとめ（登園）'!$B:$B,0)-1,MATCH(DAY(F111),'まとめ（登園）'!$2:$2,0)-2),"")</f>
        <v/>
      </c>
      <c r="I111" s="44" t="str">
        <f ca="1">IF(A111&lt;&gt;"",OFFSET('まとめ（降園）'!$B$1,MATCH(CSVフォーム!A111,'まとめ（降園）'!$B:$B,0)-1,MATCH(DAY(F111),'まとめ（降園）'!$2:$2,0)-2),"")</f>
        <v/>
      </c>
    </row>
    <row r="112" spans="1:9" ht="17.399999999999999" customHeight="1" x14ac:dyDescent="0.5">
      <c r="A112" s="33" t="str">
        <f t="array" ref="A112">IFERROR(INDEX('まとめ（登園）'!$B$3:$B$500,INT((ROW(A111)-1)/DAY(EOMONTH(貼り付け用!$B$2&amp;"1日",0)))+1)&amp;"","")</f>
        <v/>
      </c>
      <c r="B112" s="33" t="str">
        <f>IF(A112&lt;&gt;"",VLOOKUP(A112,子どもマスタ!$A$1:$F$301,2,FALSE),"")</f>
        <v/>
      </c>
      <c r="C112" s="34" t="str">
        <f>IF(A112&lt;&gt;"",
TEXT(VALUE(REPLACE(VLOOKUP(A112,子どもマスタ!$A$1:$F$301,5,FALSE),
FIND("(",VLOOKUP(A112,子どもマスタ!$A$1:$F$301,5,FALSE)),
FIND(")",VLOOKUP(A112,子どもマスタ!$A$1:$F$301,5,FALSE))
-FIND("(",VLOOKUP(A112,子どもマスタ!$A$1:$F$301,5,FALSE))+1,"")),"yyyy/mm/dd"),"")</f>
        <v/>
      </c>
      <c r="D112" s="35"/>
      <c r="E112" s="36"/>
      <c r="F112" s="34" t="str">
        <f>IF(A112="","",VALUE(貼り付け用!$B$2&amp;"1日")+MOD(ROW(A111)-1,DAY(EOMONTH(貼り付け用!$B$2&amp;"1日",0))))</f>
        <v/>
      </c>
      <c r="G112" s="34"/>
      <c r="H112" s="44" t="str">
        <f ca="1">IF(A112&lt;&gt;"",OFFSET('まとめ（登園）'!$B$1,MATCH(CSVフォーム!A112,'まとめ（登園）'!$B:$B,0)-1,MATCH(DAY(F112),'まとめ（登園）'!$2:$2,0)-2),"")</f>
        <v/>
      </c>
      <c r="I112" s="44" t="str">
        <f ca="1">IF(A112&lt;&gt;"",OFFSET('まとめ（降園）'!$B$1,MATCH(CSVフォーム!A112,'まとめ（降園）'!$B:$B,0)-1,MATCH(DAY(F112),'まとめ（降園）'!$2:$2,0)-2),"")</f>
        <v/>
      </c>
    </row>
    <row r="113" spans="1:9" ht="17.399999999999999" customHeight="1" x14ac:dyDescent="0.5">
      <c r="A113" s="33" t="str">
        <f t="array" ref="A113">IFERROR(INDEX('まとめ（登園）'!$B$3:$B$500,INT((ROW(A112)-1)/DAY(EOMONTH(貼り付け用!$B$2&amp;"1日",0)))+1)&amp;"","")</f>
        <v/>
      </c>
      <c r="B113" s="33" t="str">
        <f>IF(A113&lt;&gt;"",VLOOKUP(A113,子どもマスタ!$A$1:$F$301,2,FALSE),"")</f>
        <v/>
      </c>
      <c r="C113" s="34" t="str">
        <f>IF(A113&lt;&gt;"",
TEXT(VALUE(REPLACE(VLOOKUP(A113,子どもマスタ!$A$1:$F$301,5,FALSE),
FIND("(",VLOOKUP(A113,子どもマスタ!$A$1:$F$301,5,FALSE)),
FIND(")",VLOOKUP(A113,子どもマスタ!$A$1:$F$301,5,FALSE))
-FIND("(",VLOOKUP(A113,子どもマスタ!$A$1:$F$301,5,FALSE))+1,"")),"yyyy/mm/dd"),"")</f>
        <v/>
      </c>
      <c r="D113" s="35"/>
      <c r="E113" s="36"/>
      <c r="F113" s="34" t="str">
        <f>IF(A113="","",VALUE(貼り付け用!$B$2&amp;"1日")+MOD(ROW(A112)-1,DAY(EOMONTH(貼り付け用!$B$2&amp;"1日",0))))</f>
        <v/>
      </c>
      <c r="G113" s="34"/>
      <c r="H113" s="44" t="str">
        <f ca="1">IF(A113&lt;&gt;"",OFFSET('まとめ（登園）'!$B$1,MATCH(CSVフォーム!A113,'まとめ（登園）'!$B:$B,0)-1,MATCH(DAY(F113),'まとめ（登園）'!$2:$2,0)-2),"")</f>
        <v/>
      </c>
      <c r="I113" s="44" t="str">
        <f ca="1">IF(A113&lt;&gt;"",OFFSET('まとめ（降園）'!$B$1,MATCH(CSVフォーム!A113,'まとめ（降園）'!$B:$B,0)-1,MATCH(DAY(F113),'まとめ（降園）'!$2:$2,0)-2),"")</f>
        <v/>
      </c>
    </row>
    <row r="114" spans="1:9" ht="17.399999999999999" customHeight="1" x14ac:dyDescent="0.5">
      <c r="A114" s="33" t="str">
        <f t="array" ref="A114">IFERROR(INDEX('まとめ（登園）'!$B$3:$B$500,INT((ROW(A113)-1)/DAY(EOMONTH(貼り付け用!$B$2&amp;"1日",0)))+1)&amp;"","")</f>
        <v/>
      </c>
      <c r="B114" s="33" t="str">
        <f>IF(A114&lt;&gt;"",VLOOKUP(A114,子どもマスタ!$A$1:$F$301,2,FALSE),"")</f>
        <v/>
      </c>
      <c r="C114" s="34" t="str">
        <f>IF(A114&lt;&gt;"",
TEXT(VALUE(REPLACE(VLOOKUP(A114,子どもマスタ!$A$1:$F$301,5,FALSE),
FIND("(",VLOOKUP(A114,子どもマスタ!$A$1:$F$301,5,FALSE)),
FIND(")",VLOOKUP(A114,子どもマスタ!$A$1:$F$301,5,FALSE))
-FIND("(",VLOOKUP(A114,子どもマスタ!$A$1:$F$301,5,FALSE))+1,"")),"yyyy/mm/dd"),"")</f>
        <v/>
      </c>
      <c r="D114" s="35"/>
      <c r="E114" s="36"/>
      <c r="F114" s="34" t="str">
        <f>IF(A114="","",VALUE(貼り付け用!$B$2&amp;"1日")+MOD(ROW(A113)-1,DAY(EOMONTH(貼り付け用!$B$2&amp;"1日",0))))</f>
        <v/>
      </c>
      <c r="G114" s="34"/>
      <c r="H114" s="44" t="str">
        <f ca="1">IF(A114&lt;&gt;"",OFFSET('まとめ（登園）'!$B$1,MATCH(CSVフォーム!A114,'まとめ（登園）'!$B:$B,0)-1,MATCH(DAY(F114),'まとめ（登園）'!$2:$2,0)-2),"")</f>
        <v/>
      </c>
      <c r="I114" s="44" t="str">
        <f ca="1">IF(A114&lt;&gt;"",OFFSET('まとめ（降園）'!$B$1,MATCH(CSVフォーム!A114,'まとめ（降園）'!$B:$B,0)-1,MATCH(DAY(F114),'まとめ（降園）'!$2:$2,0)-2),"")</f>
        <v/>
      </c>
    </row>
    <row r="115" spans="1:9" ht="17.399999999999999" customHeight="1" x14ac:dyDescent="0.5">
      <c r="A115" s="33" t="str">
        <f t="array" ref="A115">IFERROR(INDEX('まとめ（登園）'!$B$3:$B$500,INT((ROW(A114)-1)/DAY(EOMONTH(貼り付け用!$B$2&amp;"1日",0)))+1)&amp;"","")</f>
        <v/>
      </c>
      <c r="B115" s="33" t="str">
        <f>IF(A115&lt;&gt;"",VLOOKUP(A115,子どもマスタ!$A$1:$F$301,2,FALSE),"")</f>
        <v/>
      </c>
      <c r="C115" s="34" t="str">
        <f>IF(A115&lt;&gt;"",
TEXT(VALUE(REPLACE(VLOOKUP(A115,子どもマスタ!$A$1:$F$301,5,FALSE),
FIND("(",VLOOKUP(A115,子どもマスタ!$A$1:$F$301,5,FALSE)),
FIND(")",VLOOKUP(A115,子どもマスタ!$A$1:$F$301,5,FALSE))
-FIND("(",VLOOKUP(A115,子どもマスタ!$A$1:$F$301,5,FALSE))+1,"")),"yyyy/mm/dd"),"")</f>
        <v/>
      </c>
      <c r="D115" s="35"/>
      <c r="E115" s="36"/>
      <c r="F115" s="34" t="str">
        <f>IF(A115="","",VALUE(貼り付け用!$B$2&amp;"1日")+MOD(ROW(A114)-1,DAY(EOMONTH(貼り付け用!$B$2&amp;"1日",0))))</f>
        <v/>
      </c>
      <c r="G115" s="34"/>
      <c r="H115" s="44" t="str">
        <f ca="1">IF(A115&lt;&gt;"",OFFSET('まとめ（登園）'!$B$1,MATCH(CSVフォーム!A115,'まとめ（登園）'!$B:$B,0)-1,MATCH(DAY(F115),'まとめ（登園）'!$2:$2,0)-2),"")</f>
        <v/>
      </c>
      <c r="I115" s="44" t="str">
        <f ca="1">IF(A115&lt;&gt;"",OFFSET('まとめ（降園）'!$B$1,MATCH(CSVフォーム!A115,'まとめ（降園）'!$B:$B,0)-1,MATCH(DAY(F115),'まとめ（降園）'!$2:$2,0)-2),"")</f>
        <v/>
      </c>
    </row>
    <row r="116" spans="1:9" ht="17.399999999999999" customHeight="1" x14ac:dyDescent="0.5">
      <c r="A116" s="33" t="str">
        <f t="array" ref="A116">IFERROR(INDEX('まとめ（登園）'!$B$3:$B$500,INT((ROW(A115)-1)/DAY(EOMONTH(貼り付け用!$B$2&amp;"1日",0)))+1)&amp;"","")</f>
        <v/>
      </c>
      <c r="B116" s="33" t="str">
        <f>IF(A116&lt;&gt;"",VLOOKUP(A116,子どもマスタ!$A$1:$F$301,2,FALSE),"")</f>
        <v/>
      </c>
      <c r="C116" s="34" t="str">
        <f>IF(A116&lt;&gt;"",
TEXT(VALUE(REPLACE(VLOOKUP(A116,子どもマスタ!$A$1:$F$301,5,FALSE),
FIND("(",VLOOKUP(A116,子どもマスタ!$A$1:$F$301,5,FALSE)),
FIND(")",VLOOKUP(A116,子どもマスタ!$A$1:$F$301,5,FALSE))
-FIND("(",VLOOKUP(A116,子どもマスタ!$A$1:$F$301,5,FALSE))+1,"")),"yyyy/mm/dd"),"")</f>
        <v/>
      </c>
      <c r="D116" s="35"/>
      <c r="E116" s="36"/>
      <c r="F116" s="34" t="str">
        <f>IF(A116="","",VALUE(貼り付け用!$B$2&amp;"1日")+MOD(ROW(A115)-1,DAY(EOMONTH(貼り付け用!$B$2&amp;"1日",0))))</f>
        <v/>
      </c>
      <c r="G116" s="34"/>
      <c r="H116" s="44" t="str">
        <f ca="1">IF(A116&lt;&gt;"",OFFSET('まとめ（登園）'!$B$1,MATCH(CSVフォーム!A116,'まとめ（登園）'!$B:$B,0)-1,MATCH(DAY(F116),'まとめ（登園）'!$2:$2,0)-2),"")</f>
        <v/>
      </c>
      <c r="I116" s="44" t="str">
        <f ca="1">IF(A116&lt;&gt;"",OFFSET('まとめ（降園）'!$B$1,MATCH(CSVフォーム!A116,'まとめ（降園）'!$B:$B,0)-1,MATCH(DAY(F116),'まとめ（降園）'!$2:$2,0)-2),"")</f>
        <v/>
      </c>
    </row>
    <row r="117" spans="1:9" ht="17.399999999999999" customHeight="1" x14ac:dyDescent="0.5">
      <c r="A117" s="33" t="str">
        <f t="array" ref="A117">IFERROR(INDEX('まとめ（登園）'!$B$3:$B$500,INT((ROW(A116)-1)/DAY(EOMONTH(貼り付け用!$B$2&amp;"1日",0)))+1)&amp;"","")</f>
        <v/>
      </c>
      <c r="B117" s="33" t="str">
        <f>IF(A117&lt;&gt;"",VLOOKUP(A117,子どもマスタ!$A$1:$F$301,2,FALSE),"")</f>
        <v/>
      </c>
      <c r="C117" s="34" t="str">
        <f>IF(A117&lt;&gt;"",
TEXT(VALUE(REPLACE(VLOOKUP(A117,子どもマスタ!$A$1:$F$301,5,FALSE),
FIND("(",VLOOKUP(A117,子どもマスタ!$A$1:$F$301,5,FALSE)),
FIND(")",VLOOKUP(A117,子どもマスタ!$A$1:$F$301,5,FALSE))
-FIND("(",VLOOKUP(A117,子どもマスタ!$A$1:$F$301,5,FALSE))+1,"")),"yyyy/mm/dd"),"")</f>
        <v/>
      </c>
      <c r="D117" s="35"/>
      <c r="E117" s="36"/>
      <c r="F117" s="34" t="str">
        <f>IF(A117="","",VALUE(貼り付け用!$B$2&amp;"1日")+MOD(ROW(A116)-1,DAY(EOMONTH(貼り付け用!$B$2&amp;"1日",0))))</f>
        <v/>
      </c>
      <c r="G117" s="34"/>
      <c r="H117" s="44" t="str">
        <f ca="1">IF(A117&lt;&gt;"",OFFSET('まとめ（登園）'!$B$1,MATCH(CSVフォーム!A117,'まとめ（登園）'!$B:$B,0)-1,MATCH(DAY(F117),'まとめ（登園）'!$2:$2,0)-2),"")</f>
        <v/>
      </c>
      <c r="I117" s="44" t="str">
        <f ca="1">IF(A117&lt;&gt;"",OFFSET('まとめ（降園）'!$B$1,MATCH(CSVフォーム!A117,'まとめ（降園）'!$B:$B,0)-1,MATCH(DAY(F117),'まとめ（降園）'!$2:$2,0)-2),"")</f>
        <v/>
      </c>
    </row>
    <row r="118" spans="1:9" ht="17.399999999999999" customHeight="1" x14ac:dyDescent="0.5">
      <c r="A118" s="33" t="str">
        <f t="array" ref="A118">IFERROR(INDEX('まとめ（登園）'!$B$3:$B$500,INT((ROW(A117)-1)/DAY(EOMONTH(貼り付け用!$B$2&amp;"1日",0)))+1)&amp;"","")</f>
        <v/>
      </c>
      <c r="B118" s="33" t="str">
        <f>IF(A118&lt;&gt;"",VLOOKUP(A118,子どもマスタ!$A$1:$F$301,2,FALSE),"")</f>
        <v/>
      </c>
      <c r="C118" s="34" t="str">
        <f>IF(A118&lt;&gt;"",
TEXT(VALUE(REPLACE(VLOOKUP(A118,子どもマスタ!$A$1:$F$301,5,FALSE),
FIND("(",VLOOKUP(A118,子どもマスタ!$A$1:$F$301,5,FALSE)),
FIND(")",VLOOKUP(A118,子どもマスタ!$A$1:$F$301,5,FALSE))
-FIND("(",VLOOKUP(A118,子どもマスタ!$A$1:$F$301,5,FALSE))+1,"")),"yyyy/mm/dd"),"")</f>
        <v/>
      </c>
      <c r="D118" s="35"/>
      <c r="E118" s="36"/>
      <c r="F118" s="34" t="str">
        <f>IF(A118="","",VALUE(貼り付け用!$B$2&amp;"1日")+MOD(ROW(A117)-1,DAY(EOMONTH(貼り付け用!$B$2&amp;"1日",0))))</f>
        <v/>
      </c>
      <c r="G118" s="34"/>
      <c r="H118" s="44" t="str">
        <f ca="1">IF(A118&lt;&gt;"",OFFSET('まとめ（登園）'!$B$1,MATCH(CSVフォーム!A118,'まとめ（登園）'!$B:$B,0)-1,MATCH(DAY(F118),'まとめ（登園）'!$2:$2,0)-2),"")</f>
        <v/>
      </c>
      <c r="I118" s="44" t="str">
        <f ca="1">IF(A118&lt;&gt;"",OFFSET('まとめ（降園）'!$B$1,MATCH(CSVフォーム!A118,'まとめ（降園）'!$B:$B,0)-1,MATCH(DAY(F118),'まとめ（降園）'!$2:$2,0)-2),"")</f>
        <v/>
      </c>
    </row>
    <row r="119" spans="1:9" ht="17.399999999999999" customHeight="1" x14ac:dyDescent="0.5">
      <c r="A119" s="33" t="str">
        <f t="array" ref="A119">IFERROR(INDEX('まとめ（登園）'!$B$3:$B$500,INT((ROW(A118)-1)/DAY(EOMONTH(貼り付け用!$B$2&amp;"1日",0)))+1)&amp;"","")</f>
        <v/>
      </c>
      <c r="B119" s="33" t="str">
        <f>IF(A119&lt;&gt;"",VLOOKUP(A119,子どもマスタ!$A$1:$F$301,2,FALSE),"")</f>
        <v/>
      </c>
      <c r="C119" s="34" t="str">
        <f>IF(A119&lt;&gt;"",
TEXT(VALUE(REPLACE(VLOOKUP(A119,子どもマスタ!$A$1:$F$301,5,FALSE),
FIND("(",VLOOKUP(A119,子どもマスタ!$A$1:$F$301,5,FALSE)),
FIND(")",VLOOKUP(A119,子どもマスタ!$A$1:$F$301,5,FALSE))
-FIND("(",VLOOKUP(A119,子どもマスタ!$A$1:$F$301,5,FALSE))+1,"")),"yyyy/mm/dd"),"")</f>
        <v/>
      </c>
      <c r="D119" s="35"/>
      <c r="E119" s="36"/>
      <c r="F119" s="34" t="str">
        <f>IF(A119="","",VALUE(貼り付け用!$B$2&amp;"1日")+MOD(ROW(A118)-1,DAY(EOMONTH(貼り付け用!$B$2&amp;"1日",0))))</f>
        <v/>
      </c>
      <c r="G119" s="34"/>
      <c r="H119" s="44" t="str">
        <f ca="1">IF(A119&lt;&gt;"",OFFSET('まとめ（登園）'!$B$1,MATCH(CSVフォーム!A119,'まとめ（登園）'!$B:$B,0)-1,MATCH(DAY(F119),'まとめ（登園）'!$2:$2,0)-2),"")</f>
        <v/>
      </c>
      <c r="I119" s="44" t="str">
        <f ca="1">IF(A119&lt;&gt;"",OFFSET('まとめ（降園）'!$B$1,MATCH(CSVフォーム!A119,'まとめ（降園）'!$B:$B,0)-1,MATCH(DAY(F119),'まとめ（降園）'!$2:$2,0)-2),"")</f>
        <v/>
      </c>
    </row>
    <row r="120" spans="1:9" ht="17.399999999999999" customHeight="1" x14ac:dyDescent="0.5">
      <c r="A120" s="33" t="str">
        <f t="array" ref="A120">IFERROR(INDEX('まとめ（登園）'!$B$3:$B$500,INT((ROW(A119)-1)/DAY(EOMONTH(貼り付け用!$B$2&amp;"1日",0)))+1)&amp;"","")</f>
        <v/>
      </c>
      <c r="B120" s="33" t="str">
        <f>IF(A120&lt;&gt;"",VLOOKUP(A120,子どもマスタ!$A$1:$F$301,2,FALSE),"")</f>
        <v/>
      </c>
      <c r="C120" s="34" t="str">
        <f>IF(A120&lt;&gt;"",
TEXT(VALUE(REPLACE(VLOOKUP(A120,子どもマスタ!$A$1:$F$301,5,FALSE),
FIND("(",VLOOKUP(A120,子どもマスタ!$A$1:$F$301,5,FALSE)),
FIND(")",VLOOKUP(A120,子どもマスタ!$A$1:$F$301,5,FALSE))
-FIND("(",VLOOKUP(A120,子どもマスタ!$A$1:$F$301,5,FALSE))+1,"")),"yyyy/mm/dd"),"")</f>
        <v/>
      </c>
      <c r="D120" s="35"/>
      <c r="E120" s="36"/>
      <c r="F120" s="34" t="str">
        <f>IF(A120="","",VALUE(貼り付け用!$B$2&amp;"1日")+MOD(ROW(A119)-1,DAY(EOMONTH(貼り付け用!$B$2&amp;"1日",0))))</f>
        <v/>
      </c>
      <c r="G120" s="34"/>
      <c r="H120" s="44" t="str">
        <f ca="1">IF(A120&lt;&gt;"",OFFSET('まとめ（登園）'!$B$1,MATCH(CSVフォーム!A120,'まとめ（登園）'!$B:$B,0)-1,MATCH(DAY(F120),'まとめ（登園）'!$2:$2,0)-2),"")</f>
        <v/>
      </c>
      <c r="I120" s="44" t="str">
        <f ca="1">IF(A120&lt;&gt;"",OFFSET('まとめ（降園）'!$B$1,MATCH(CSVフォーム!A120,'まとめ（降園）'!$B:$B,0)-1,MATCH(DAY(F120),'まとめ（降園）'!$2:$2,0)-2),"")</f>
        <v/>
      </c>
    </row>
    <row r="121" spans="1:9" ht="17.399999999999999" customHeight="1" x14ac:dyDescent="0.5">
      <c r="A121" s="33" t="str">
        <f t="array" ref="A121">IFERROR(INDEX('まとめ（登園）'!$B$3:$B$500,INT((ROW(A120)-1)/DAY(EOMONTH(貼り付け用!$B$2&amp;"1日",0)))+1)&amp;"","")</f>
        <v/>
      </c>
      <c r="B121" s="33" t="str">
        <f>IF(A121&lt;&gt;"",VLOOKUP(A121,子どもマスタ!$A$1:$F$301,2,FALSE),"")</f>
        <v/>
      </c>
      <c r="C121" s="34" t="str">
        <f>IF(A121&lt;&gt;"",
TEXT(VALUE(REPLACE(VLOOKUP(A121,子どもマスタ!$A$1:$F$301,5,FALSE),
FIND("(",VLOOKUP(A121,子どもマスタ!$A$1:$F$301,5,FALSE)),
FIND(")",VLOOKUP(A121,子どもマスタ!$A$1:$F$301,5,FALSE))
-FIND("(",VLOOKUP(A121,子どもマスタ!$A$1:$F$301,5,FALSE))+1,"")),"yyyy/mm/dd"),"")</f>
        <v/>
      </c>
      <c r="D121" s="35"/>
      <c r="E121" s="36"/>
      <c r="F121" s="34" t="str">
        <f>IF(A121="","",VALUE(貼り付け用!$B$2&amp;"1日")+MOD(ROW(A120)-1,DAY(EOMONTH(貼り付け用!$B$2&amp;"1日",0))))</f>
        <v/>
      </c>
      <c r="G121" s="34"/>
      <c r="H121" s="44" t="str">
        <f ca="1">IF(A121&lt;&gt;"",OFFSET('まとめ（登園）'!$B$1,MATCH(CSVフォーム!A121,'まとめ（登園）'!$B:$B,0)-1,MATCH(DAY(F121),'まとめ（登園）'!$2:$2,0)-2),"")</f>
        <v/>
      </c>
      <c r="I121" s="44" t="str">
        <f ca="1">IF(A121&lt;&gt;"",OFFSET('まとめ（降園）'!$B$1,MATCH(CSVフォーム!A121,'まとめ（降園）'!$B:$B,0)-1,MATCH(DAY(F121),'まとめ（降園）'!$2:$2,0)-2),"")</f>
        <v/>
      </c>
    </row>
    <row r="122" spans="1:9" ht="17.399999999999999" customHeight="1" x14ac:dyDescent="0.5">
      <c r="A122" s="33" t="str">
        <f t="array" ref="A122">IFERROR(INDEX('まとめ（登園）'!$B$3:$B$500,INT((ROW(A121)-1)/DAY(EOMONTH(貼り付け用!$B$2&amp;"1日",0)))+1)&amp;"","")</f>
        <v/>
      </c>
      <c r="B122" s="33" t="str">
        <f>IF(A122&lt;&gt;"",VLOOKUP(A122,子どもマスタ!$A$1:$F$301,2,FALSE),"")</f>
        <v/>
      </c>
      <c r="C122" s="34" t="str">
        <f>IF(A122&lt;&gt;"",
TEXT(VALUE(REPLACE(VLOOKUP(A122,子どもマスタ!$A$1:$F$301,5,FALSE),
FIND("(",VLOOKUP(A122,子どもマスタ!$A$1:$F$301,5,FALSE)),
FIND(")",VLOOKUP(A122,子どもマスタ!$A$1:$F$301,5,FALSE))
-FIND("(",VLOOKUP(A122,子どもマスタ!$A$1:$F$301,5,FALSE))+1,"")),"yyyy/mm/dd"),"")</f>
        <v/>
      </c>
      <c r="D122" s="35"/>
      <c r="E122" s="36"/>
      <c r="F122" s="34" t="str">
        <f>IF(A122="","",VALUE(貼り付け用!$B$2&amp;"1日")+MOD(ROW(A121)-1,DAY(EOMONTH(貼り付け用!$B$2&amp;"1日",0))))</f>
        <v/>
      </c>
      <c r="G122" s="34"/>
      <c r="H122" s="44" t="str">
        <f ca="1">IF(A122&lt;&gt;"",OFFSET('まとめ（登園）'!$B$1,MATCH(CSVフォーム!A122,'まとめ（登園）'!$B:$B,0)-1,MATCH(DAY(F122),'まとめ（登園）'!$2:$2,0)-2),"")</f>
        <v/>
      </c>
      <c r="I122" s="44" t="str">
        <f ca="1">IF(A122&lt;&gt;"",OFFSET('まとめ（降園）'!$B$1,MATCH(CSVフォーム!A122,'まとめ（降園）'!$B:$B,0)-1,MATCH(DAY(F122),'まとめ（降園）'!$2:$2,0)-2),"")</f>
        <v/>
      </c>
    </row>
    <row r="123" spans="1:9" ht="17.399999999999999" customHeight="1" x14ac:dyDescent="0.5">
      <c r="A123" s="33" t="str">
        <f t="array" ref="A123">IFERROR(INDEX('まとめ（登園）'!$B$3:$B$500,INT((ROW(A122)-1)/DAY(EOMONTH(貼り付け用!$B$2&amp;"1日",0)))+1)&amp;"","")</f>
        <v/>
      </c>
      <c r="B123" s="33" t="str">
        <f>IF(A123&lt;&gt;"",VLOOKUP(A123,子どもマスタ!$A$1:$F$301,2,FALSE),"")</f>
        <v/>
      </c>
      <c r="C123" s="34" t="str">
        <f>IF(A123&lt;&gt;"",
TEXT(VALUE(REPLACE(VLOOKUP(A123,子どもマスタ!$A$1:$F$301,5,FALSE),
FIND("(",VLOOKUP(A123,子どもマスタ!$A$1:$F$301,5,FALSE)),
FIND(")",VLOOKUP(A123,子どもマスタ!$A$1:$F$301,5,FALSE))
-FIND("(",VLOOKUP(A123,子どもマスタ!$A$1:$F$301,5,FALSE))+1,"")),"yyyy/mm/dd"),"")</f>
        <v/>
      </c>
      <c r="D123" s="35"/>
      <c r="E123" s="36"/>
      <c r="F123" s="34" t="str">
        <f>IF(A123="","",VALUE(貼り付け用!$B$2&amp;"1日")+MOD(ROW(A122)-1,DAY(EOMONTH(貼り付け用!$B$2&amp;"1日",0))))</f>
        <v/>
      </c>
      <c r="G123" s="34"/>
      <c r="H123" s="44" t="str">
        <f ca="1">IF(A123&lt;&gt;"",OFFSET('まとめ（登園）'!$B$1,MATCH(CSVフォーム!A123,'まとめ（登園）'!$B:$B,0)-1,MATCH(DAY(F123),'まとめ（登園）'!$2:$2,0)-2),"")</f>
        <v/>
      </c>
      <c r="I123" s="44" t="str">
        <f ca="1">IF(A123&lt;&gt;"",OFFSET('まとめ（降園）'!$B$1,MATCH(CSVフォーム!A123,'まとめ（降園）'!$B:$B,0)-1,MATCH(DAY(F123),'まとめ（降園）'!$2:$2,0)-2),"")</f>
        <v/>
      </c>
    </row>
    <row r="124" spans="1:9" ht="17.399999999999999" customHeight="1" x14ac:dyDescent="0.5">
      <c r="A124" s="33" t="str">
        <f t="array" ref="A124">IFERROR(INDEX('まとめ（登園）'!$B$3:$B$500,INT((ROW(A123)-1)/DAY(EOMONTH(貼り付け用!$B$2&amp;"1日",0)))+1)&amp;"","")</f>
        <v/>
      </c>
      <c r="B124" s="33" t="str">
        <f>IF(A124&lt;&gt;"",VLOOKUP(A124,子どもマスタ!$A$1:$F$301,2,FALSE),"")</f>
        <v/>
      </c>
      <c r="C124" s="34" t="str">
        <f>IF(A124&lt;&gt;"",
TEXT(VALUE(REPLACE(VLOOKUP(A124,子どもマスタ!$A$1:$F$301,5,FALSE),
FIND("(",VLOOKUP(A124,子どもマスタ!$A$1:$F$301,5,FALSE)),
FIND(")",VLOOKUP(A124,子どもマスタ!$A$1:$F$301,5,FALSE))
-FIND("(",VLOOKUP(A124,子どもマスタ!$A$1:$F$301,5,FALSE))+1,"")),"yyyy/mm/dd"),"")</f>
        <v/>
      </c>
      <c r="D124" s="35"/>
      <c r="E124" s="36"/>
      <c r="F124" s="34" t="str">
        <f>IF(A124="","",VALUE(貼り付け用!$B$2&amp;"1日")+MOD(ROW(A123)-1,DAY(EOMONTH(貼り付け用!$B$2&amp;"1日",0))))</f>
        <v/>
      </c>
      <c r="G124" s="34"/>
      <c r="H124" s="44" t="str">
        <f ca="1">IF(A124&lt;&gt;"",OFFSET('まとめ（登園）'!$B$1,MATCH(CSVフォーム!A124,'まとめ（登園）'!$B:$B,0)-1,MATCH(DAY(F124),'まとめ（登園）'!$2:$2,0)-2),"")</f>
        <v/>
      </c>
      <c r="I124" s="44" t="str">
        <f ca="1">IF(A124&lt;&gt;"",OFFSET('まとめ（降園）'!$B$1,MATCH(CSVフォーム!A124,'まとめ（降園）'!$B:$B,0)-1,MATCH(DAY(F124),'まとめ（降園）'!$2:$2,0)-2),"")</f>
        <v/>
      </c>
    </row>
    <row r="125" spans="1:9" ht="17.399999999999999" customHeight="1" x14ac:dyDescent="0.5">
      <c r="A125" s="33" t="str">
        <f t="array" ref="A125">IFERROR(INDEX('まとめ（登園）'!$B$3:$B$500,INT((ROW(A124)-1)/DAY(EOMONTH(貼り付け用!$B$2&amp;"1日",0)))+1)&amp;"","")</f>
        <v/>
      </c>
      <c r="B125" s="33" t="str">
        <f>IF(A125&lt;&gt;"",VLOOKUP(A125,子どもマスタ!$A$1:$F$301,2,FALSE),"")</f>
        <v/>
      </c>
      <c r="C125" s="34" t="str">
        <f>IF(A125&lt;&gt;"",
TEXT(VALUE(REPLACE(VLOOKUP(A125,子どもマスタ!$A$1:$F$301,5,FALSE),
FIND("(",VLOOKUP(A125,子どもマスタ!$A$1:$F$301,5,FALSE)),
FIND(")",VLOOKUP(A125,子どもマスタ!$A$1:$F$301,5,FALSE))
-FIND("(",VLOOKUP(A125,子どもマスタ!$A$1:$F$301,5,FALSE))+1,"")),"yyyy/mm/dd"),"")</f>
        <v/>
      </c>
      <c r="D125" s="35"/>
      <c r="E125" s="36"/>
      <c r="F125" s="34" t="str">
        <f>IF(A125="","",VALUE(貼り付け用!$B$2&amp;"1日")+MOD(ROW(A124)-1,DAY(EOMONTH(貼り付け用!$B$2&amp;"1日",0))))</f>
        <v/>
      </c>
      <c r="G125" s="34"/>
      <c r="H125" s="44" t="str">
        <f ca="1">IF(A125&lt;&gt;"",OFFSET('まとめ（登園）'!$B$1,MATCH(CSVフォーム!A125,'まとめ（登園）'!$B:$B,0)-1,MATCH(DAY(F125),'まとめ（登園）'!$2:$2,0)-2),"")</f>
        <v/>
      </c>
      <c r="I125" s="44" t="str">
        <f ca="1">IF(A125&lt;&gt;"",OFFSET('まとめ（降園）'!$B$1,MATCH(CSVフォーム!A125,'まとめ（降園）'!$B:$B,0)-1,MATCH(DAY(F125),'まとめ（降園）'!$2:$2,0)-2),"")</f>
        <v/>
      </c>
    </row>
    <row r="126" spans="1:9" ht="17.399999999999999" customHeight="1" x14ac:dyDescent="0.5">
      <c r="A126" s="33" t="str">
        <f t="array" ref="A126">IFERROR(INDEX('まとめ（登園）'!$B$3:$B$500,INT((ROW(A125)-1)/DAY(EOMONTH(貼り付け用!$B$2&amp;"1日",0)))+1)&amp;"","")</f>
        <v/>
      </c>
      <c r="B126" s="33" t="str">
        <f>IF(A126&lt;&gt;"",VLOOKUP(A126,子どもマスタ!$A$1:$F$301,2,FALSE),"")</f>
        <v/>
      </c>
      <c r="C126" s="34" t="str">
        <f>IF(A126&lt;&gt;"",
TEXT(VALUE(REPLACE(VLOOKUP(A126,子どもマスタ!$A$1:$F$301,5,FALSE),
FIND("(",VLOOKUP(A126,子どもマスタ!$A$1:$F$301,5,FALSE)),
FIND(")",VLOOKUP(A126,子どもマスタ!$A$1:$F$301,5,FALSE))
-FIND("(",VLOOKUP(A126,子どもマスタ!$A$1:$F$301,5,FALSE))+1,"")),"yyyy/mm/dd"),"")</f>
        <v/>
      </c>
      <c r="D126" s="35"/>
      <c r="E126" s="36"/>
      <c r="F126" s="34" t="str">
        <f>IF(A126="","",VALUE(貼り付け用!$B$2&amp;"1日")+MOD(ROW(A125)-1,DAY(EOMONTH(貼り付け用!$B$2&amp;"1日",0))))</f>
        <v/>
      </c>
      <c r="G126" s="34"/>
      <c r="H126" s="44" t="str">
        <f ca="1">IF(A126&lt;&gt;"",OFFSET('まとめ（登園）'!$B$1,MATCH(CSVフォーム!A126,'まとめ（登園）'!$B:$B,0)-1,MATCH(DAY(F126),'まとめ（登園）'!$2:$2,0)-2),"")</f>
        <v/>
      </c>
      <c r="I126" s="44" t="str">
        <f ca="1">IF(A126&lt;&gt;"",OFFSET('まとめ（降園）'!$B$1,MATCH(CSVフォーム!A126,'まとめ（降園）'!$B:$B,0)-1,MATCH(DAY(F126),'まとめ（降園）'!$2:$2,0)-2),"")</f>
        <v/>
      </c>
    </row>
    <row r="127" spans="1:9" ht="17.399999999999999" customHeight="1" x14ac:dyDescent="0.5">
      <c r="A127" s="33" t="str">
        <f t="array" ref="A127">IFERROR(INDEX('まとめ（登園）'!$B$3:$B$500,INT((ROW(A126)-1)/DAY(EOMONTH(貼り付け用!$B$2&amp;"1日",0)))+1)&amp;"","")</f>
        <v/>
      </c>
      <c r="B127" s="33" t="str">
        <f>IF(A127&lt;&gt;"",VLOOKUP(A127,子どもマスタ!$A$1:$F$301,2,FALSE),"")</f>
        <v/>
      </c>
      <c r="C127" s="34" t="str">
        <f>IF(A127&lt;&gt;"",
TEXT(VALUE(REPLACE(VLOOKUP(A127,子どもマスタ!$A$1:$F$301,5,FALSE),
FIND("(",VLOOKUP(A127,子どもマスタ!$A$1:$F$301,5,FALSE)),
FIND(")",VLOOKUP(A127,子どもマスタ!$A$1:$F$301,5,FALSE))
-FIND("(",VLOOKUP(A127,子どもマスタ!$A$1:$F$301,5,FALSE))+1,"")),"yyyy/mm/dd"),"")</f>
        <v/>
      </c>
      <c r="D127" s="35"/>
      <c r="E127" s="36"/>
      <c r="F127" s="34" t="str">
        <f>IF(A127="","",VALUE(貼り付け用!$B$2&amp;"1日")+MOD(ROW(A126)-1,DAY(EOMONTH(貼り付け用!$B$2&amp;"1日",0))))</f>
        <v/>
      </c>
      <c r="G127" s="34"/>
      <c r="H127" s="44" t="str">
        <f ca="1">IF(A127&lt;&gt;"",OFFSET('まとめ（登園）'!$B$1,MATCH(CSVフォーム!A127,'まとめ（登園）'!$B:$B,0)-1,MATCH(DAY(F127),'まとめ（登園）'!$2:$2,0)-2),"")</f>
        <v/>
      </c>
      <c r="I127" s="44" t="str">
        <f ca="1">IF(A127&lt;&gt;"",OFFSET('まとめ（降園）'!$B$1,MATCH(CSVフォーム!A127,'まとめ（降園）'!$B:$B,0)-1,MATCH(DAY(F127),'まとめ（降園）'!$2:$2,0)-2),"")</f>
        <v/>
      </c>
    </row>
    <row r="128" spans="1:9" ht="17.399999999999999" customHeight="1" x14ac:dyDescent="0.5">
      <c r="A128" s="33" t="str">
        <f t="array" ref="A128">IFERROR(INDEX('まとめ（登園）'!$B$3:$B$500,INT((ROW(A127)-1)/DAY(EOMONTH(貼り付け用!$B$2&amp;"1日",0)))+1)&amp;"","")</f>
        <v/>
      </c>
      <c r="B128" s="33" t="str">
        <f>IF(A128&lt;&gt;"",VLOOKUP(A128,子どもマスタ!$A$1:$F$301,2,FALSE),"")</f>
        <v/>
      </c>
      <c r="C128" s="34" t="str">
        <f>IF(A128&lt;&gt;"",
TEXT(VALUE(REPLACE(VLOOKUP(A128,子どもマスタ!$A$1:$F$301,5,FALSE),
FIND("(",VLOOKUP(A128,子どもマスタ!$A$1:$F$301,5,FALSE)),
FIND(")",VLOOKUP(A128,子どもマスタ!$A$1:$F$301,5,FALSE))
-FIND("(",VLOOKUP(A128,子どもマスタ!$A$1:$F$301,5,FALSE))+1,"")),"yyyy/mm/dd"),"")</f>
        <v/>
      </c>
      <c r="D128" s="35"/>
      <c r="E128" s="36"/>
      <c r="F128" s="34" t="str">
        <f>IF(A128="","",VALUE(貼り付け用!$B$2&amp;"1日")+MOD(ROW(A127)-1,DAY(EOMONTH(貼り付け用!$B$2&amp;"1日",0))))</f>
        <v/>
      </c>
      <c r="G128" s="34"/>
      <c r="H128" s="44" t="str">
        <f ca="1">IF(A128&lt;&gt;"",OFFSET('まとめ（登園）'!$B$1,MATCH(CSVフォーム!A128,'まとめ（登園）'!$B:$B,0)-1,MATCH(DAY(F128),'まとめ（登園）'!$2:$2,0)-2),"")</f>
        <v/>
      </c>
      <c r="I128" s="44" t="str">
        <f ca="1">IF(A128&lt;&gt;"",OFFSET('まとめ（降園）'!$B$1,MATCH(CSVフォーム!A128,'まとめ（降園）'!$B:$B,0)-1,MATCH(DAY(F128),'まとめ（降園）'!$2:$2,0)-2),"")</f>
        <v/>
      </c>
    </row>
    <row r="129" spans="1:9" ht="17.399999999999999" customHeight="1" x14ac:dyDescent="0.5">
      <c r="A129" s="33" t="str">
        <f t="array" ref="A129">IFERROR(INDEX('まとめ（登園）'!$B$3:$B$500,INT((ROW(A128)-1)/DAY(EOMONTH(貼り付け用!$B$2&amp;"1日",0)))+1)&amp;"","")</f>
        <v/>
      </c>
      <c r="B129" s="33" t="str">
        <f>IF(A129&lt;&gt;"",VLOOKUP(A129,子どもマスタ!$A$1:$F$301,2,FALSE),"")</f>
        <v/>
      </c>
      <c r="C129" s="34" t="str">
        <f>IF(A129&lt;&gt;"",
TEXT(VALUE(REPLACE(VLOOKUP(A129,子どもマスタ!$A$1:$F$301,5,FALSE),
FIND("(",VLOOKUP(A129,子どもマスタ!$A$1:$F$301,5,FALSE)),
FIND(")",VLOOKUP(A129,子どもマスタ!$A$1:$F$301,5,FALSE))
-FIND("(",VLOOKUP(A129,子どもマスタ!$A$1:$F$301,5,FALSE))+1,"")),"yyyy/mm/dd"),"")</f>
        <v/>
      </c>
      <c r="D129" s="35"/>
      <c r="E129" s="36"/>
      <c r="F129" s="34" t="str">
        <f>IF(A129="","",VALUE(貼り付け用!$B$2&amp;"1日")+MOD(ROW(A128)-1,DAY(EOMONTH(貼り付け用!$B$2&amp;"1日",0))))</f>
        <v/>
      </c>
      <c r="G129" s="34"/>
      <c r="H129" s="44" t="str">
        <f ca="1">IF(A129&lt;&gt;"",OFFSET('まとめ（登園）'!$B$1,MATCH(CSVフォーム!A129,'まとめ（登園）'!$B:$B,0)-1,MATCH(DAY(F129),'まとめ（登園）'!$2:$2,0)-2),"")</f>
        <v/>
      </c>
      <c r="I129" s="44" t="str">
        <f ca="1">IF(A129&lt;&gt;"",OFFSET('まとめ（降園）'!$B$1,MATCH(CSVフォーム!A129,'まとめ（降園）'!$B:$B,0)-1,MATCH(DAY(F129),'まとめ（降園）'!$2:$2,0)-2),"")</f>
        <v/>
      </c>
    </row>
    <row r="130" spans="1:9" ht="17.399999999999999" customHeight="1" x14ac:dyDescent="0.5">
      <c r="A130" s="33" t="str">
        <f t="array" ref="A130">IFERROR(INDEX('まとめ（登園）'!$B$3:$B$500,INT((ROW(A129)-1)/DAY(EOMONTH(貼り付け用!$B$2&amp;"1日",0)))+1)&amp;"","")</f>
        <v/>
      </c>
      <c r="B130" s="33" t="str">
        <f>IF(A130&lt;&gt;"",VLOOKUP(A130,子どもマスタ!$A$1:$F$301,2,FALSE),"")</f>
        <v/>
      </c>
      <c r="C130" s="34" t="str">
        <f>IF(A130&lt;&gt;"",
TEXT(VALUE(REPLACE(VLOOKUP(A130,子どもマスタ!$A$1:$F$301,5,FALSE),
FIND("(",VLOOKUP(A130,子どもマスタ!$A$1:$F$301,5,FALSE)),
FIND(")",VLOOKUP(A130,子どもマスタ!$A$1:$F$301,5,FALSE))
-FIND("(",VLOOKUP(A130,子どもマスタ!$A$1:$F$301,5,FALSE))+1,"")),"yyyy/mm/dd"),"")</f>
        <v/>
      </c>
      <c r="D130" s="35"/>
      <c r="E130" s="36"/>
      <c r="F130" s="34" t="str">
        <f>IF(A130="","",VALUE(貼り付け用!$B$2&amp;"1日")+MOD(ROW(A129)-1,DAY(EOMONTH(貼り付け用!$B$2&amp;"1日",0))))</f>
        <v/>
      </c>
      <c r="G130" s="34"/>
      <c r="H130" s="44" t="str">
        <f ca="1">IF(A130&lt;&gt;"",OFFSET('まとめ（登園）'!$B$1,MATCH(CSVフォーム!A130,'まとめ（登園）'!$B:$B,0)-1,MATCH(DAY(F130),'まとめ（登園）'!$2:$2,0)-2),"")</f>
        <v/>
      </c>
      <c r="I130" s="44" t="str">
        <f ca="1">IF(A130&lt;&gt;"",OFFSET('まとめ（降園）'!$B$1,MATCH(CSVフォーム!A130,'まとめ（降園）'!$B:$B,0)-1,MATCH(DAY(F130),'まとめ（降園）'!$2:$2,0)-2),"")</f>
        <v/>
      </c>
    </row>
    <row r="131" spans="1:9" ht="17.399999999999999" customHeight="1" x14ac:dyDescent="0.5">
      <c r="A131" s="33" t="str">
        <f t="array" ref="A131">IFERROR(INDEX('まとめ（登園）'!$B$3:$B$500,INT((ROW(A130)-1)/DAY(EOMONTH(貼り付け用!$B$2&amp;"1日",0)))+1)&amp;"","")</f>
        <v/>
      </c>
      <c r="B131" s="33" t="str">
        <f>IF(A131&lt;&gt;"",VLOOKUP(A131,子どもマスタ!$A$1:$F$301,2,FALSE),"")</f>
        <v/>
      </c>
      <c r="C131" s="34" t="str">
        <f>IF(A131&lt;&gt;"",
TEXT(VALUE(REPLACE(VLOOKUP(A131,子どもマスタ!$A$1:$F$301,5,FALSE),
FIND("(",VLOOKUP(A131,子どもマスタ!$A$1:$F$301,5,FALSE)),
FIND(")",VLOOKUP(A131,子どもマスタ!$A$1:$F$301,5,FALSE))
-FIND("(",VLOOKUP(A131,子どもマスタ!$A$1:$F$301,5,FALSE))+1,"")),"yyyy/mm/dd"),"")</f>
        <v/>
      </c>
      <c r="D131" s="35"/>
      <c r="E131" s="36"/>
      <c r="F131" s="34" t="str">
        <f>IF(A131="","",VALUE(貼り付け用!$B$2&amp;"1日")+MOD(ROW(A130)-1,DAY(EOMONTH(貼り付け用!$B$2&amp;"1日",0))))</f>
        <v/>
      </c>
      <c r="G131" s="34"/>
      <c r="H131" s="44" t="str">
        <f ca="1">IF(A131&lt;&gt;"",OFFSET('まとめ（登園）'!$B$1,MATCH(CSVフォーム!A131,'まとめ（登園）'!$B:$B,0)-1,MATCH(DAY(F131),'まとめ（登園）'!$2:$2,0)-2),"")</f>
        <v/>
      </c>
      <c r="I131" s="44" t="str">
        <f ca="1">IF(A131&lt;&gt;"",OFFSET('まとめ（降園）'!$B$1,MATCH(CSVフォーム!A131,'まとめ（降園）'!$B:$B,0)-1,MATCH(DAY(F131),'まとめ（降園）'!$2:$2,0)-2),"")</f>
        <v/>
      </c>
    </row>
    <row r="132" spans="1:9" ht="17.399999999999999" customHeight="1" x14ac:dyDescent="0.5">
      <c r="A132" s="33" t="str">
        <f t="array" ref="A132">IFERROR(INDEX('まとめ（登園）'!$B$3:$B$500,INT((ROW(A131)-1)/DAY(EOMONTH(貼り付け用!$B$2&amp;"1日",0)))+1)&amp;"","")</f>
        <v/>
      </c>
      <c r="B132" s="33" t="str">
        <f>IF(A132&lt;&gt;"",VLOOKUP(A132,子どもマスタ!$A$1:$F$301,2,FALSE),"")</f>
        <v/>
      </c>
      <c r="C132" s="34" t="str">
        <f>IF(A132&lt;&gt;"",
TEXT(VALUE(REPLACE(VLOOKUP(A132,子どもマスタ!$A$1:$F$301,5,FALSE),
FIND("(",VLOOKUP(A132,子どもマスタ!$A$1:$F$301,5,FALSE)),
FIND(")",VLOOKUP(A132,子どもマスタ!$A$1:$F$301,5,FALSE))
-FIND("(",VLOOKUP(A132,子どもマスタ!$A$1:$F$301,5,FALSE))+1,"")),"yyyy/mm/dd"),"")</f>
        <v/>
      </c>
      <c r="D132" s="35"/>
      <c r="E132" s="36"/>
      <c r="F132" s="34" t="str">
        <f>IF(A132="","",VALUE(貼り付け用!$B$2&amp;"1日")+MOD(ROW(A131)-1,DAY(EOMONTH(貼り付け用!$B$2&amp;"1日",0))))</f>
        <v/>
      </c>
      <c r="G132" s="34"/>
      <c r="H132" s="44" t="str">
        <f ca="1">IF(A132&lt;&gt;"",OFFSET('まとめ（登園）'!$B$1,MATCH(CSVフォーム!A132,'まとめ（登園）'!$B:$B,0)-1,MATCH(DAY(F132),'まとめ（登園）'!$2:$2,0)-2),"")</f>
        <v/>
      </c>
      <c r="I132" s="44" t="str">
        <f ca="1">IF(A132&lt;&gt;"",OFFSET('まとめ（降園）'!$B$1,MATCH(CSVフォーム!A132,'まとめ（降園）'!$B:$B,0)-1,MATCH(DAY(F132),'まとめ（降園）'!$2:$2,0)-2),"")</f>
        <v/>
      </c>
    </row>
    <row r="133" spans="1:9" ht="17.399999999999999" customHeight="1" x14ac:dyDescent="0.5">
      <c r="A133" s="33" t="str">
        <f t="array" ref="A133">IFERROR(INDEX('まとめ（登園）'!$B$3:$B$500,INT((ROW(A132)-1)/DAY(EOMONTH(貼り付け用!$B$2&amp;"1日",0)))+1)&amp;"","")</f>
        <v/>
      </c>
      <c r="B133" s="33" t="str">
        <f>IF(A133&lt;&gt;"",VLOOKUP(A133,子どもマスタ!$A$1:$F$301,2,FALSE),"")</f>
        <v/>
      </c>
      <c r="C133" s="34" t="str">
        <f>IF(A133&lt;&gt;"",
TEXT(VALUE(REPLACE(VLOOKUP(A133,子どもマスタ!$A$1:$F$301,5,FALSE),
FIND("(",VLOOKUP(A133,子どもマスタ!$A$1:$F$301,5,FALSE)),
FIND(")",VLOOKUP(A133,子どもマスタ!$A$1:$F$301,5,FALSE))
-FIND("(",VLOOKUP(A133,子どもマスタ!$A$1:$F$301,5,FALSE))+1,"")),"yyyy/mm/dd"),"")</f>
        <v/>
      </c>
      <c r="D133" s="35"/>
      <c r="E133" s="36"/>
      <c r="F133" s="34" t="str">
        <f>IF(A133="","",VALUE(貼り付け用!$B$2&amp;"1日")+MOD(ROW(A132)-1,DAY(EOMONTH(貼り付け用!$B$2&amp;"1日",0))))</f>
        <v/>
      </c>
      <c r="G133" s="34"/>
      <c r="H133" s="44" t="str">
        <f ca="1">IF(A133&lt;&gt;"",OFFSET('まとめ（登園）'!$B$1,MATCH(CSVフォーム!A133,'まとめ（登園）'!$B:$B,0)-1,MATCH(DAY(F133),'まとめ（登園）'!$2:$2,0)-2),"")</f>
        <v/>
      </c>
      <c r="I133" s="44" t="str">
        <f ca="1">IF(A133&lt;&gt;"",OFFSET('まとめ（降園）'!$B$1,MATCH(CSVフォーム!A133,'まとめ（降園）'!$B:$B,0)-1,MATCH(DAY(F133),'まとめ（降園）'!$2:$2,0)-2),"")</f>
        <v/>
      </c>
    </row>
    <row r="134" spans="1:9" ht="17.399999999999999" customHeight="1" x14ac:dyDescent="0.5">
      <c r="A134" s="33" t="str">
        <f t="array" ref="A134">IFERROR(INDEX('まとめ（登園）'!$B$3:$B$500,INT((ROW(A133)-1)/DAY(EOMONTH(貼り付け用!$B$2&amp;"1日",0)))+1)&amp;"","")</f>
        <v/>
      </c>
      <c r="B134" s="33" t="str">
        <f>IF(A134&lt;&gt;"",VLOOKUP(A134,子どもマスタ!$A$1:$F$301,2,FALSE),"")</f>
        <v/>
      </c>
      <c r="C134" s="34" t="str">
        <f>IF(A134&lt;&gt;"",
TEXT(VALUE(REPLACE(VLOOKUP(A134,子どもマスタ!$A$1:$F$301,5,FALSE),
FIND("(",VLOOKUP(A134,子どもマスタ!$A$1:$F$301,5,FALSE)),
FIND(")",VLOOKUP(A134,子どもマスタ!$A$1:$F$301,5,FALSE))
-FIND("(",VLOOKUP(A134,子どもマスタ!$A$1:$F$301,5,FALSE))+1,"")),"yyyy/mm/dd"),"")</f>
        <v/>
      </c>
      <c r="D134" s="35"/>
      <c r="E134" s="36"/>
      <c r="F134" s="34" t="str">
        <f>IF(A134="","",VALUE(貼り付け用!$B$2&amp;"1日")+MOD(ROW(A133)-1,DAY(EOMONTH(貼り付け用!$B$2&amp;"1日",0))))</f>
        <v/>
      </c>
      <c r="G134" s="34"/>
      <c r="H134" s="44" t="str">
        <f ca="1">IF(A134&lt;&gt;"",OFFSET('まとめ（登園）'!$B$1,MATCH(CSVフォーム!A134,'まとめ（登園）'!$B:$B,0)-1,MATCH(DAY(F134),'まとめ（登園）'!$2:$2,0)-2),"")</f>
        <v/>
      </c>
      <c r="I134" s="44" t="str">
        <f ca="1">IF(A134&lt;&gt;"",OFFSET('まとめ（降園）'!$B$1,MATCH(CSVフォーム!A134,'まとめ（降園）'!$B:$B,0)-1,MATCH(DAY(F134),'まとめ（降園）'!$2:$2,0)-2),"")</f>
        <v/>
      </c>
    </row>
    <row r="135" spans="1:9" ht="17.399999999999999" customHeight="1" x14ac:dyDescent="0.5">
      <c r="A135" s="33" t="str">
        <f t="array" ref="A135">IFERROR(INDEX('まとめ（登園）'!$B$3:$B$500,INT((ROW(A134)-1)/DAY(EOMONTH(貼り付け用!$B$2&amp;"1日",0)))+1)&amp;"","")</f>
        <v/>
      </c>
      <c r="B135" s="33" t="str">
        <f>IF(A135&lt;&gt;"",VLOOKUP(A135,子どもマスタ!$A$1:$F$301,2,FALSE),"")</f>
        <v/>
      </c>
      <c r="C135" s="34" t="str">
        <f>IF(A135&lt;&gt;"",
TEXT(VALUE(REPLACE(VLOOKUP(A135,子どもマスタ!$A$1:$F$301,5,FALSE),
FIND("(",VLOOKUP(A135,子どもマスタ!$A$1:$F$301,5,FALSE)),
FIND(")",VLOOKUP(A135,子どもマスタ!$A$1:$F$301,5,FALSE))
-FIND("(",VLOOKUP(A135,子どもマスタ!$A$1:$F$301,5,FALSE))+1,"")),"yyyy/mm/dd"),"")</f>
        <v/>
      </c>
      <c r="D135" s="35"/>
      <c r="E135" s="36"/>
      <c r="F135" s="34" t="str">
        <f>IF(A135="","",VALUE(貼り付け用!$B$2&amp;"1日")+MOD(ROW(A134)-1,DAY(EOMONTH(貼り付け用!$B$2&amp;"1日",0))))</f>
        <v/>
      </c>
      <c r="G135" s="34"/>
      <c r="H135" s="44" t="str">
        <f ca="1">IF(A135&lt;&gt;"",OFFSET('まとめ（登園）'!$B$1,MATCH(CSVフォーム!A135,'まとめ（登園）'!$B:$B,0)-1,MATCH(DAY(F135),'まとめ（登園）'!$2:$2,0)-2),"")</f>
        <v/>
      </c>
      <c r="I135" s="44" t="str">
        <f ca="1">IF(A135&lt;&gt;"",OFFSET('まとめ（降園）'!$B$1,MATCH(CSVフォーム!A135,'まとめ（降園）'!$B:$B,0)-1,MATCH(DAY(F135),'まとめ（降園）'!$2:$2,0)-2),"")</f>
        <v/>
      </c>
    </row>
    <row r="136" spans="1:9" ht="17.399999999999999" customHeight="1" x14ac:dyDescent="0.5">
      <c r="A136" s="33" t="str">
        <f t="array" ref="A136">IFERROR(INDEX('まとめ（登園）'!$B$3:$B$500,INT((ROW(A135)-1)/DAY(EOMONTH(貼り付け用!$B$2&amp;"1日",0)))+1)&amp;"","")</f>
        <v/>
      </c>
      <c r="B136" s="33" t="str">
        <f>IF(A136&lt;&gt;"",VLOOKUP(A136,子どもマスタ!$A$1:$F$301,2,FALSE),"")</f>
        <v/>
      </c>
      <c r="C136" s="34" t="str">
        <f>IF(A136&lt;&gt;"",
TEXT(VALUE(REPLACE(VLOOKUP(A136,子どもマスタ!$A$1:$F$301,5,FALSE),
FIND("(",VLOOKUP(A136,子どもマスタ!$A$1:$F$301,5,FALSE)),
FIND(")",VLOOKUP(A136,子どもマスタ!$A$1:$F$301,5,FALSE))
-FIND("(",VLOOKUP(A136,子どもマスタ!$A$1:$F$301,5,FALSE))+1,"")),"yyyy/mm/dd"),"")</f>
        <v/>
      </c>
      <c r="D136" s="35"/>
      <c r="E136" s="36"/>
      <c r="F136" s="34" t="str">
        <f>IF(A136="","",VALUE(貼り付け用!$B$2&amp;"1日")+MOD(ROW(A135)-1,DAY(EOMONTH(貼り付け用!$B$2&amp;"1日",0))))</f>
        <v/>
      </c>
      <c r="G136" s="34"/>
      <c r="H136" s="44" t="str">
        <f ca="1">IF(A136&lt;&gt;"",OFFSET('まとめ（登園）'!$B$1,MATCH(CSVフォーム!A136,'まとめ（登園）'!$B:$B,0)-1,MATCH(DAY(F136),'まとめ（登園）'!$2:$2,0)-2),"")</f>
        <v/>
      </c>
      <c r="I136" s="44" t="str">
        <f ca="1">IF(A136&lt;&gt;"",OFFSET('まとめ（降園）'!$B$1,MATCH(CSVフォーム!A136,'まとめ（降園）'!$B:$B,0)-1,MATCH(DAY(F136),'まとめ（降園）'!$2:$2,0)-2),"")</f>
        <v/>
      </c>
    </row>
    <row r="137" spans="1:9" ht="17.399999999999999" customHeight="1" x14ac:dyDescent="0.5">
      <c r="A137" s="33" t="str">
        <f t="array" ref="A137">IFERROR(INDEX('まとめ（登園）'!$B$3:$B$500,INT((ROW(A136)-1)/DAY(EOMONTH(貼り付け用!$B$2&amp;"1日",0)))+1)&amp;"","")</f>
        <v/>
      </c>
      <c r="B137" s="33" t="str">
        <f>IF(A137&lt;&gt;"",VLOOKUP(A137,子どもマスタ!$A$1:$F$301,2,FALSE),"")</f>
        <v/>
      </c>
      <c r="C137" s="34" t="str">
        <f>IF(A137&lt;&gt;"",
TEXT(VALUE(REPLACE(VLOOKUP(A137,子どもマスタ!$A$1:$F$301,5,FALSE),
FIND("(",VLOOKUP(A137,子どもマスタ!$A$1:$F$301,5,FALSE)),
FIND(")",VLOOKUP(A137,子どもマスタ!$A$1:$F$301,5,FALSE))
-FIND("(",VLOOKUP(A137,子どもマスタ!$A$1:$F$301,5,FALSE))+1,"")),"yyyy/mm/dd"),"")</f>
        <v/>
      </c>
      <c r="D137" s="35"/>
      <c r="E137" s="36"/>
      <c r="F137" s="34" t="str">
        <f>IF(A137="","",VALUE(貼り付け用!$B$2&amp;"1日")+MOD(ROW(A136)-1,DAY(EOMONTH(貼り付け用!$B$2&amp;"1日",0))))</f>
        <v/>
      </c>
      <c r="G137" s="34"/>
      <c r="H137" s="44" t="str">
        <f ca="1">IF(A137&lt;&gt;"",OFFSET('まとめ（登園）'!$B$1,MATCH(CSVフォーム!A137,'まとめ（登園）'!$B:$B,0)-1,MATCH(DAY(F137),'まとめ（登園）'!$2:$2,0)-2),"")</f>
        <v/>
      </c>
      <c r="I137" s="44" t="str">
        <f ca="1">IF(A137&lt;&gt;"",OFFSET('まとめ（降園）'!$B$1,MATCH(CSVフォーム!A137,'まとめ（降園）'!$B:$B,0)-1,MATCH(DAY(F137),'まとめ（降園）'!$2:$2,0)-2),"")</f>
        <v/>
      </c>
    </row>
    <row r="138" spans="1:9" ht="17.399999999999999" customHeight="1" x14ac:dyDescent="0.5">
      <c r="A138" s="33" t="str">
        <f t="array" ref="A138">IFERROR(INDEX('まとめ（登園）'!$B$3:$B$500,INT((ROW(A137)-1)/DAY(EOMONTH(貼り付け用!$B$2&amp;"1日",0)))+1)&amp;"","")</f>
        <v/>
      </c>
      <c r="B138" s="33" t="str">
        <f>IF(A138&lt;&gt;"",VLOOKUP(A138,子どもマスタ!$A$1:$F$301,2,FALSE),"")</f>
        <v/>
      </c>
      <c r="C138" s="34" t="str">
        <f>IF(A138&lt;&gt;"",
TEXT(VALUE(REPLACE(VLOOKUP(A138,子どもマスタ!$A$1:$F$301,5,FALSE),
FIND("(",VLOOKUP(A138,子どもマスタ!$A$1:$F$301,5,FALSE)),
FIND(")",VLOOKUP(A138,子どもマスタ!$A$1:$F$301,5,FALSE))
-FIND("(",VLOOKUP(A138,子どもマスタ!$A$1:$F$301,5,FALSE))+1,"")),"yyyy/mm/dd"),"")</f>
        <v/>
      </c>
      <c r="D138" s="35"/>
      <c r="E138" s="36"/>
      <c r="F138" s="34" t="str">
        <f>IF(A138="","",VALUE(貼り付け用!$B$2&amp;"1日")+MOD(ROW(A137)-1,DAY(EOMONTH(貼り付け用!$B$2&amp;"1日",0))))</f>
        <v/>
      </c>
      <c r="G138" s="34"/>
      <c r="H138" s="44" t="str">
        <f ca="1">IF(A138&lt;&gt;"",OFFSET('まとめ（登園）'!$B$1,MATCH(CSVフォーム!A138,'まとめ（登園）'!$B:$B,0)-1,MATCH(DAY(F138),'まとめ（登園）'!$2:$2,0)-2),"")</f>
        <v/>
      </c>
      <c r="I138" s="44" t="str">
        <f ca="1">IF(A138&lt;&gt;"",OFFSET('まとめ（降園）'!$B$1,MATCH(CSVフォーム!A138,'まとめ（降園）'!$B:$B,0)-1,MATCH(DAY(F138),'まとめ（降園）'!$2:$2,0)-2),"")</f>
        <v/>
      </c>
    </row>
    <row r="139" spans="1:9" ht="17.399999999999999" customHeight="1" x14ac:dyDescent="0.5">
      <c r="A139" s="33" t="str">
        <f t="array" ref="A139">IFERROR(INDEX('まとめ（登園）'!$B$3:$B$500,INT((ROW(A138)-1)/DAY(EOMONTH(貼り付け用!$B$2&amp;"1日",0)))+1)&amp;"","")</f>
        <v/>
      </c>
      <c r="B139" s="33" t="str">
        <f>IF(A139&lt;&gt;"",VLOOKUP(A139,子どもマスタ!$A$1:$F$301,2,FALSE),"")</f>
        <v/>
      </c>
      <c r="C139" s="34" t="str">
        <f>IF(A139&lt;&gt;"",
TEXT(VALUE(REPLACE(VLOOKUP(A139,子どもマスタ!$A$1:$F$301,5,FALSE),
FIND("(",VLOOKUP(A139,子どもマスタ!$A$1:$F$301,5,FALSE)),
FIND(")",VLOOKUP(A139,子どもマスタ!$A$1:$F$301,5,FALSE))
-FIND("(",VLOOKUP(A139,子どもマスタ!$A$1:$F$301,5,FALSE))+1,"")),"yyyy/mm/dd"),"")</f>
        <v/>
      </c>
      <c r="D139" s="35"/>
      <c r="E139" s="36"/>
      <c r="F139" s="34" t="str">
        <f>IF(A139="","",VALUE(貼り付け用!$B$2&amp;"1日")+MOD(ROW(A138)-1,DAY(EOMONTH(貼り付け用!$B$2&amp;"1日",0))))</f>
        <v/>
      </c>
      <c r="G139" s="34"/>
      <c r="H139" s="44" t="str">
        <f ca="1">IF(A139&lt;&gt;"",OFFSET('まとめ（登園）'!$B$1,MATCH(CSVフォーム!A139,'まとめ（登園）'!$B:$B,0)-1,MATCH(DAY(F139),'まとめ（登園）'!$2:$2,0)-2),"")</f>
        <v/>
      </c>
      <c r="I139" s="44" t="str">
        <f ca="1">IF(A139&lt;&gt;"",OFFSET('まとめ（降園）'!$B$1,MATCH(CSVフォーム!A139,'まとめ（降園）'!$B:$B,0)-1,MATCH(DAY(F139),'まとめ（降園）'!$2:$2,0)-2),"")</f>
        <v/>
      </c>
    </row>
    <row r="140" spans="1:9" ht="17.399999999999999" customHeight="1" x14ac:dyDescent="0.5">
      <c r="A140" s="33" t="str">
        <f t="array" ref="A140">IFERROR(INDEX('まとめ（登園）'!$B$3:$B$500,INT((ROW(A139)-1)/DAY(EOMONTH(貼り付け用!$B$2&amp;"1日",0)))+1)&amp;"","")</f>
        <v/>
      </c>
      <c r="B140" s="33" t="str">
        <f>IF(A140&lt;&gt;"",VLOOKUP(A140,子どもマスタ!$A$1:$F$301,2,FALSE),"")</f>
        <v/>
      </c>
      <c r="C140" s="34" t="str">
        <f>IF(A140&lt;&gt;"",
TEXT(VALUE(REPLACE(VLOOKUP(A140,子どもマスタ!$A$1:$F$301,5,FALSE),
FIND("(",VLOOKUP(A140,子どもマスタ!$A$1:$F$301,5,FALSE)),
FIND(")",VLOOKUP(A140,子どもマスタ!$A$1:$F$301,5,FALSE))
-FIND("(",VLOOKUP(A140,子どもマスタ!$A$1:$F$301,5,FALSE))+1,"")),"yyyy/mm/dd"),"")</f>
        <v/>
      </c>
      <c r="D140" s="35"/>
      <c r="E140" s="36"/>
      <c r="F140" s="34" t="str">
        <f>IF(A140="","",VALUE(貼り付け用!$B$2&amp;"1日")+MOD(ROW(A139)-1,DAY(EOMONTH(貼り付け用!$B$2&amp;"1日",0))))</f>
        <v/>
      </c>
      <c r="G140" s="34"/>
      <c r="H140" s="44" t="str">
        <f ca="1">IF(A140&lt;&gt;"",OFFSET('まとめ（登園）'!$B$1,MATCH(CSVフォーム!A140,'まとめ（登園）'!$B:$B,0)-1,MATCH(DAY(F140),'まとめ（登園）'!$2:$2,0)-2),"")</f>
        <v/>
      </c>
      <c r="I140" s="44" t="str">
        <f ca="1">IF(A140&lt;&gt;"",OFFSET('まとめ（降園）'!$B$1,MATCH(CSVフォーム!A140,'まとめ（降園）'!$B:$B,0)-1,MATCH(DAY(F140),'まとめ（降園）'!$2:$2,0)-2),"")</f>
        <v/>
      </c>
    </row>
    <row r="141" spans="1:9" ht="17.399999999999999" customHeight="1" x14ac:dyDescent="0.5">
      <c r="A141" s="33" t="str">
        <f t="array" ref="A141">IFERROR(INDEX('まとめ（登園）'!$B$3:$B$500,INT((ROW(A140)-1)/DAY(EOMONTH(貼り付け用!$B$2&amp;"1日",0)))+1)&amp;"","")</f>
        <v/>
      </c>
      <c r="B141" s="33" t="str">
        <f>IF(A141&lt;&gt;"",VLOOKUP(A141,子どもマスタ!$A$1:$F$301,2,FALSE),"")</f>
        <v/>
      </c>
      <c r="C141" s="34" t="str">
        <f>IF(A141&lt;&gt;"",
TEXT(VALUE(REPLACE(VLOOKUP(A141,子どもマスタ!$A$1:$F$301,5,FALSE),
FIND("(",VLOOKUP(A141,子どもマスタ!$A$1:$F$301,5,FALSE)),
FIND(")",VLOOKUP(A141,子どもマスタ!$A$1:$F$301,5,FALSE))
-FIND("(",VLOOKUP(A141,子どもマスタ!$A$1:$F$301,5,FALSE))+1,"")),"yyyy/mm/dd"),"")</f>
        <v/>
      </c>
      <c r="D141" s="35"/>
      <c r="E141" s="36"/>
      <c r="F141" s="34" t="str">
        <f>IF(A141="","",VALUE(貼り付け用!$B$2&amp;"1日")+MOD(ROW(A140)-1,DAY(EOMONTH(貼り付け用!$B$2&amp;"1日",0))))</f>
        <v/>
      </c>
      <c r="G141" s="34"/>
      <c r="H141" s="44" t="str">
        <f ca="1">IF(A141&lt;&gt;"",OFFSET('まとめ（登園）'!$B$1,MATCH(CSVフォーム!A141,'まとめ（登園）'!$B:$B,0)-1,MATCH(DAY(F141),'まとめ（登園）'!$2:$2,0)-2),"")</f>
        <v/>
      </c>
      <c r="I141" s="44" t="str">
        <f ca="1">IF(A141&lt;&gt;"",OFFSET('まとめ（降園）'!$B$1,MATCH(CSVフォーム!A141,'まとめ（降園）'!$B:$B,0)-1,MATCH(DAY(F141),'まとめ（降園）'!$2:$2,0)-2),"")</f>
        <v/>
      </c>
    </row>
    <row r="142" spans="1:9" ht="17.399999999999999" customHeight="1" x14ac:dyDescent="0.5">
      <c r="A142" s="33" t="str">
        <f t="array" ref="A142">IFERROR(INDEX('まとめ（登園）'!$B$3:$B$500,INT((ROW(A141)-1)/DAY(EOMONTH(貼り付け用!$B$2&amp;"1日",0)))+1)&amp;"","")</f>
        <v/>
      </c>
      <c r="B142" s="33" t="str">
        <f>IF(A142&lt;&gt;"",VLOOKUP(A142,子どもマスタ!$A$1:$F$301,2,FALSE),"")</f>
        <v/>
      </c>
      <c r="C142" s="34" t="str">
        <f>IF(A142&lt;&gt;"",
TEXT(VALUE(REPLACE(VLOOKUP(A142,子どもマスタ!$A$1:$F$301,5,FALSE),
FIND("(",VLOOKUP(A142,子どもマスタ!$A$1:$F$301,5,FALSE)),
FIND(")",VLOOKUP(A142,子どもマスタ!$A$1:$F$301,5,FALSE))
-FIND("(",VLOOKUP(A142,子どもマスタ!$A$1:$F$301,5,FALSE))+1,"")),"yyyy/mm/dd"),"")</f>
        <v/>
      </c>
      <c r="D142" s="35"/>
      <c r="E142" s="36"/>
      <c r="F142" s="34" t="str">
        <f>IF(A142="","",VALUE(貼り付け用!$B$2&amp;"1日")+MOD(ROW(A141)-1,DAY(EOMONTH(貼り付け用!$B$2&amp;"1日",0))))</f>
        <v/>
      </c>
      <c r="G142" s="34"/>
      <c r="H142" s="44" t="str">
        <f ca="1">IF(A142&lt;&gt;"",OFFSET('まとめ（登園）'!$B$1,MATCH(CSVフォーム!A142,'まとめ（登園）'!$B:$B,0)-1,MATCH(DAY(F142),'まとめ（登園）'!$2:$2,0)-2),"")</f>
        <v/>
      </c>
      <c r="I142" s="44" t="str">
        <f ca="1">IF(A142&lt;&gt;"",OFFSET('まとめ（降園）'!$B$1,MATCH(CSVフォーム!A142,'まとめ（降園）'!$B:$B,0)-1,MATCH(DAY(F142),'まとめ（降園）'!$2:$2,0)-2),"")</f>
        <v/>
      </c>
    </row>
    <row r="143" spans="1:9" ht="17.399999999999999" customHeight="1" x14ac:dyDescent="0.5">
      <c r="A143" s="33" t="str">
        <f t="array" ref="A143">IFERROR(INDEX('まとめ（登園）'!$B$3:$B$500,INT((ROW(A142)-1)/DAY(EOMONTH(貼り付け用!$B$2&amp;"1日",0)))+1)&amp;"","")</f>
        <v/>
      </c>
      <c r="B143" s="33" t="str">
        <f>IF(A143&lt;&gt;"",VLOOKUP(A143,子どもマスタ!$A$1:$F$301,2,FALSE),"")</f>
        <v/>
      </c>
      <c r="C143" s="34" t="str">
        <f>IF(A143&lt;&gt;"",
TEXT(VALUE(REPLACE(VLOOKUP(A143,子どもマスタ!$A$1:$F$301,5,FALSE),
FIND("(",VLOOKUP(A143,子どもマスタ!$A$1:$F$301,5,FALSE)),
FIND(")",VLOOKUP(A143,子どもマスタ!$A$1:$F$301,5,FALSE))
-FIND("(",VLOOKUP(A143,子どもマスタ!$A$1:$F$301,5,FALSE))+1,"")),"yyyy/mm/dd"),"")</f>
        <v/>
      </c>
      <c r="D143" s="35"/>
      <c r="E143" s="36"/>
      <c r="F143" s="34" t="str">
        <f>IF(A143="","",VALUE(貼り付け用!$B$2&amp;"1日")+MOD(ROW(A142)-1,DAY(EOMONTH(貼り付け用!$B$2&amp;"1日",0))))</f>
        <v/>
      </c>
      <c r="G143" s="34"/>
      <c r="H143" s="44" t="str">
        <f ca="1">IF(A143&lt;&gt;"",OFFSET('まとめ（登園）'!$B$1,MATCH(CSVフォーム!A143,'まとめ（登園）'!$B:$B,0)-1,MATCH(DAY(F143),'まとめ（登園）'!$2:$2,0)-2),"")</f>
        <v/>
      </c>
      <c r="I143" s="44" t="str">
        <f ca="1">IF(A143&lt;&gt;"",OFFSET('まとめ（降園）'!$B$1,MATCH(CSVフォーム!A143,'まとめ（降園）'!$B:$B,0)-1,MATCH(DAY(F143),'まとめ（降園）'!$2:$2,0)-2),"")</f>
        <v/>
      </c>
    </row>
    <row r="144" spans="1:9" ht="17.399999999999999" customHeight="1" x14ac:dyDescent="0.5">
      <c r="A144" s="33" t="str">
        <f t="array" ref="A144">IFERROR(INDEX('まとめ（登園）'!$B$3:$B$500,INT((ROW(A143)-1)/DAY(EOMONTH(貼り付け用!$B$2&amp;"1日",0)))+1)&amp;"","")</f>
        <v/>
      </c>
      <c r="B144" s="33" t="str">
        <f>IF(A144&lt;&gt;"",VLOOKUP(A144,子どもマスタ!$A$1:$F$301,2,FALSE),"")</f>
        <v/>
      </c>
      <c r="C144" s="34" t="str">
        <f>IF(A144&lt;&gt;"",
TEXT(VALUE(REPLACE(VLOOKUP(A144,子どもマスタ!$A$1:$F$301,5,FALSE),
FIND("(",VLOOKUP(A144,子どもマスタ!$A$1:$F$301,5,FALSE)),
FIND(")",VLOOKUP(A144,子どもマスタ!$A$1:$F$301,5,FALSE))
-FIND("(",VLOOKUP(A144,子どもマスタ!$A$1:$F$301,5,FALSE))+1,"")),"yyyy/mm/dd"),"")</f>
        <v/>
      </c>
      <c r="D144" s="35"/>
      <c r="E144" s="36"/>
      <c r="F144" s="34" t="str">
        <f>IF(A144="","",VALUE(貼り付け用!$B$2&amp;"1日")+MOD(ROW(A143)-1,DAY(EOMONTH(貼り付け用!$B$2&amp;"1日",0))))</f>
        <v/>
      </c>
      <c r="G144" s="34"/>
      <c r="H144" s="44" t="str">
        <f ca="1">IF(A144&lt;&gt;"",OFFSET('まとめ（登園）'!$B$1,MATCH(CSVフォーム!A144,'まとめ（登園）'!$B:$B,0)-1,MATCH(DAY(F144),'まとめ（登園）'!$2:$2,0)-2),"")</f>
        <v/>
      </c>
      <c r="I144" s="44" t="str">
        <f ca="1">IF(A144&lt;&gt;"",OFFSET('まとめ（降園）'!$B$1,MATCH(CSVフォーム!A144,'まとめ（降園）'!$B:$B,0)-1,MATCH(DAY(F144),'まとめ（降園）'!$2:$2,0)-2),"")</f>
        <v/>
      </c>
    </row>
    <row r="145" spans="1:9" ht="17.399999999999999" customHeight="1" x14ac:dyDescent="0.5">
      <c r="A145" s="33" t="str">
        <f t="array" ref="A145">IFERROR(INDEX('まとめ（登園）'!$B$3:$B$500,INT((ROW(A144)-1)/DAY(EOMONTH(貼り付け用!$B$2&amp;"1日",0)))+1)&amp;"","")</f>
        <v/>
      </c>
      <c r="B145" s="33" t="str">
        <f>IF(A145&lt;&gt;"",VLOOKUP(A145,子どもマスタ!$A$1:$F$301,2,FALSE),"")</f>
        <v/>
      </c>
      <c r="C145" s="34" t="str">
        <f>IF(A145&lt;&gt;"",
TEXT(VALUE(REPLACE(VLOOKUP(A145,子どもマスタ!$A$1:$F$301,5,FALSE),
FIND("(",VLOOKUP(A145,子どもマスタ!$A$1:$F$301,5,FALSE)),
FIND(")",VLOOKUP(A145,子どもマスタ!$A$1:$F$301,5,FALSE))
-FIND("(",VLOOKUP(A145,子どもマスタ!$A$1:$F$301,5,FALSE))+1,"")),"yyyy/mm/dd"),"")</f>
        <v/>
      </c>
      <c r="D145" s="35"/>
      <c r="E145" s="36"/>
      <c r="F145" s="34" t="str">
        <f>IF(A145="","",VALUE(貼り付け用!$B$2&amp;"1日")+MOD(ROW(A144)-1,DAY(EOMONTH(貼り付け用!$B$2&amp;"1日",0))))</f>
        <v/>
      </c>
      <c r="G145" s="34"/>
      <c r="H145" s="44" t="str">
        <f ca="1">IF(A145&lt;&gt;"",OFFSET('まとめ（登園）'!$B$1,MATCH(CSVフォーム!A145,'まとめ（登園）'!$B:$B,0)-1,MATCH(DAY(F145),'まとめ（登園）'!$2:$2,0)-2),"")</f>
        <v/>
      </c>
      <c r="I145" s="44" t="str">
        <f ca="1">IF(A145&lt;&gt;"",OFFSET('まとめ（降園）'!$B$1,MATCH(CSVフォーム!A145,'まとめ（降園）'!$B:$B,0)-1,MATCH(DAY(F145),'まとめ（降園）'!$2:$2,0)-2),"")</f>
        <v/>
      </c>
    </row>
    <row r="146" spans="1:9" ht="17.399999999999999" customHeight="1" x14ac:dyDescent="0.5">
      <c r="A146" s="33" t="str">
        <f t="array" ref="A146">IFERROR(INDEX('まとめ（登園）'!$B$3:$B$500,INT((ROW(A145)-1)/DAY(EOMONTH(貼り付け用!$B$2&amp;"1日",0)))+1)&amp;"","")</f>
        <v/>
      </c>
      <c r="B146" s="33" t="str">
        <f>IF(A146&lt;&gt;"",VLOOKUP(A146,子どもマスタ!$A$1:$F$301,2,FALSE),"")</f>
        <v/>
      </c>
      <c r="C146" s="34" t="str">
        <f>IF(A146&lt;&gt;"",
TEXT(VALUE(REPLACE(VLOOKUP(A146,子どもマスタ!$A$1:$F$301,5,FALSE),
FIND("(",VLOOKUP(A146,子どもマスタ!$A$1:$F$301,5,FALSE)),
FIND(")",VLOOKUP(A146,子どもマスタ!$A$1:$F$301,5,FALSE))
-FIND("(",VLOOKUP(A146,子どもマスタ!$A$1:$F$301,5,FALSE))+1,"")),"yyyy/mm/dd"),"")</f>
        <v/>
      </c>
      <c r="D146" s="35"/>
      <c r="E146" s="36"/>
      <c r="F146" s="34" t="str">
        <f>IF(A146="","",VALUE(貼り付け用!$B$2&amp;"1日")+MOD(ROW(A145)-1,DAY(EOMONTH(貼り付け用!$B$2&amp;"1日",0))))</f>
        <v/>
      </c>
      <c r="G146" s="34"/>
      <c r="H146" s="44" t="str">
        <f ca="1">IF(A146&lt;&gt;"",OFFSET('まとめ（登園）'!$B$1,MATCH(CSVフォーム!A146,'まとめ（登園）'!$B:$B,0)-1,MATCH(DAY(F146),'まとめ（登園）'!$2:$2,0)-2),"")</f>
        <v/>
      </c>
      <c r="I146" s="44" t="str">
        <f ca="1">IF(A146&lt;&gt;"",OFFSET('まとめ（降園）'!$B$1,MATCH(CSVフォーム!A146,'まとめ（降園）'!$B:$B,0)-1,MATCH(DAY(F146),'まとめ（降園）'!$2:$2,0)-2),"")</f>
        <v/>
      </c>
    </row>
    <row r="147" spans="1:9" ht="17.399999999999999" customHeight="1" x14ac:dyDescent="0.5">
      <c r="A147" s="33" t="str">
        <f t="array" ref="A147">IFERROR(INDEX('まとめ（登園）'!$B$3:$B$500,INT((ROW(A146)-1)/DAY(EOMONTH(貼り付け用!$B$2&amp;"1日",0)))+1)&amp;"","")</f>
        <v/>
      </c>
      <c r="B147" s="33" t="str">
        <f>IF(A147&lt;&gt;"",VLOOKUP(A147,子どもマスタ!$A$1:$F$301,2,FALSE),"")</f>
        <v/>
      </c>
      <c r="C147" s="34" t="str">
        <f>IF(A147&lt;&gt;"",
TEXT(VALUE(REPLACE(VLOOKUP(A147,子どもマスタ!$A$1:$F$301,5,FALSE),
FIND("(",VLOOKUP(A147,子どもマスタ!$A$1:$F$301,5,FALSE)),
FIND(")",VLOOKUP(A147,子どもマスタ!$A$1:$F$301,5,FALSE))
-FIND("(",VLOOKUP(A147,子どもマスタ!$A$1:$F$301,5,FALSE))+1,"")),"yyyy/mm/dd"),"")</f>
        <v/>
      </c>
      <c r="D147" s="35"/>
      <c r="E147" s="36"/>
      <c r="F147" s="34" t="str">
        <f>IF(A147="","",VALUE(貼り付け用!$B$2&amp;"1日")+MOD(ROW(A146)-1,DAY(EOMONTH(貼り付け用!$B$2&amp;"1日",0))))</f>
        <v/>
      </c>
      <c r="G147" s="34"/>
      <c r="H147" s="44" t="str">
        <f ca="1">IF(A147&lt;&gt;"",OFFSET('まとめ（登園）'!$B$1,MATCH(CSVフォーム!A147,'まとめ（登園）'!$B:$B,0)-1,MATCH(DAY(F147),'まとめ（登園）'!$2:$2,0)-2),"")</f>
        <v/>
      </c>
      <c r="I147" s="44" t="str">
        <f ca="1">IF(A147&lt;&gt;"",OFFSET('まとめ（降園）'!$B$1,MATCH(CSVフォーム!A147,'まとめ（降園）'!$B:$B,0)-1,MATCH(DAY(F147),'まとめ（降園）'!$2:$2,0)-2),"")</f>
        <v/>
      </c>
    </row>
    <row r="148" spans="1:9" ht="17.399999999999999" customHeight="1" x14ac:dyDescent="0.5">
      <c r="A148" s="33" t="str">
        <f t="array" ref="A148">IFERROR(INDEX('まとめ（登園）'!$B$3:$B$500,INT((ROW(A147)-1)/DAY(EOMONTH(貼り付け用!$B$2&amp;"1日",0)))+1)&amp;"","")</f>
        <v/>
      </c>
      <c r="B148" s="33" t="str">
        <f>IF(A148&lt;&gt;"",VLOOKUP(A148,子どもマスタ!$A$1:$F$301,2,FALSE),"")</f>
        <v/>
      </c>
      <c r="C148" s="34" t="str">
        <f>IF(A148&lt;&gt;"",
TEXT(VALUE(REPLACE(VLOOKUP(A148,子どもマスタ!$A$1:$F$301,5,FALSE),
FIND("(",VLOOKUP(A148,子どもマスタ!$A$1:$F$301,5,FALSE)),
FIND(")",VLOOKUP(A148,子どもマスタ!$A$1:$F$301,5,FALSE))
-FIND("(",VLOOKUP(A148,子どもマスタ!$A$1:$F$301,5,FALSE))+1,"")),"yyyy/mm/dd"),"")</f>
        <v/>
      </c>
      <c r="D148" s="35"/>
      <c r="E148" s="36"/>
      <c r="F148" s="34" t="str">
        <f>IF(A148="","",VALUE(貼り付け用!$B$2&amp;"1日")+MOD(ROW(A147)-1,DAY(EOMONTH(貼り付け用!$B$2&amp;"1日",0))))</f>
        <v/>
      </c>
      <c r="G148" s="34"/>
      <c r="H148" s="44" t="str">
        <f ca="1">IF(A148&lt;&gt;"",OFFSET('まとめ（登園）'!$B$1,MATCH(CSVフォーム!A148,'まとめ（登園）'!$B:$B,0)-1,MATCH(DAY(F148),'まとめ（登園）'!$2:$2,0)-2),"")</f>
        <v/>
      </c>
      <c r="I148" s="44" t="str">
        <f ca="1">IF(A148&lt;&gt;"",OFFSET('まとめ（降園）'!$B$1,MATCH(CSVフォーム!A148,'まとめ（降園）'!$B:$B,0)-1,MATCH(DAY(F148),'まとめ（降園）'!$2:$2,0)-2),"")</f>
        <v/>
      </c>
    </row>
    <row r="149" spans="1:9" ht="17.399999999999999" customHeight="1" x14ac:dyDescent="0.5">
      <c r="A149" s="33" t="str">
        <f t="array" ref="A149">IFERROR(INDEX('まとめ（登園）'!$B$3:$B$500,INT((ROW(A148)-1)/DAY(EOMONTH(貼り付け用!$B$2&amp;"1日",0)))+1)&amp;"","")</f>
        <v/>
      </c>
      <c r="B149" s="33" t="str">
        <f>IF(A149&lt;&gt;"",VLOOKUP(A149,子どもマスタ!$A$1:$F$301,2,FALSE),"")</f>
        <v/>
      </c>
      <c r="C149" s="34" t="str">
        <f>IF(A149&lt;&gt;"",
TEXT(VALUE(REPLACE(VLOOKUP(A149,子どもマスタ!$A$1:$F$301,5,FALSE),
FIND("(",VLOOKUP(A149,子どもマスタ!$A$1:$F$301,5,FALSE)),
FIND(")",VLOOKUP(A149,子どもマスタ!$A$1:$F$301,5,FALSE))
-FIND("(",VLOOKUP(A149,子どもマスタ!$A$1:$F$301,5,FALSE))+1,"")),"yyyy/mm/dd"),"")</f>
        <v/>
      </c>
      <c r="D149" s="35"/>
      <c r="E149" s="36"/>
      <c r="F149" s="34" t="str">
        <f>IF(A149="","",VALUE(貼り付け用!$B$2&amp;"1日")+MOD(ROW(A148)-1,DAY(EOMONTH(貼り付け用!$B$2&amp;"1日",0))))</f>
        <v/>
      </c>
      <c r="G149" s="34"/>
      <c r="H149" s="44" t="str">
        <f ca="1">IF(A149&lt;&gt;"",OFFSET('まとめ（登園）'!$B$1,MATCH(CSVフォーム!A149,'まとめ（登園）'!$B:$B,0)-1,MATCH(DAY(F149),'まとめ（登園）'!$2:$2,0)-2),"")</f>
        <v/>
      </c>
      <c r="I149" s="44" t="str">
        <f ca="1">IF(A149&lt;&gt;"",OFFSET('まとめ（降園）'!$B$1,MATCH(CSVフォーム!A149,'まとめ（降園）'!$B:$B,0)-1,MATCH(DAY(F149),'まとめ（降園）'!$2:$2,0)-2),"")</f>
        <v/>
      </c>
    </row>
    <row r="150" spans="1:9" ht="17.399999999999999" customHeight="1" x14ac:dyDescent="0.5">
      <c r="A150" s="33" t="str">
        <f t="array" ref="A150">IFERROR(INDEX('まとめ（登園）'!$B$3:$B$500,INT((ROW(A149)-1)/DAY(EOMONTH(貼り付け用!$B$2&amp;"1日",0)))+1)&amp;"","")</f>
        <v/>
      </c>
      <c r="B150" s="33" t="str">
        <f>IF(A150&lt;&gt;"",VLOOKUP(A150,子どもマスタ!$A$1:$F$301,2,FALSE),"")</f>
        <v/>
      </c>
      <c r="C150" s="34" t="str">
        <f>IF(A150&lt;&gt;"",
TEXT(VALUE(REPLACE(VLOOKUP(A150,子どもマスタ!$A$1:$F$301,5,FALSE),
FIND("(",VLOOKUP(A150,子どもマスタ!$A$1:$F$301,5,FALSE)),
FIND(")",VLOOKUP(A150,子どもマスタ!$A$1:$F$301,5,FALSE))
-FIND("(",VLOOKUP(A150,子どもマスタ!$A$1:$F$301,5,FALSE))+1,"")),"yyyy/mm/dd"),"")</f>
        <v/>
      </c>
      <c r="D150" s="35"/>
      <c r="E150" s="36"/>
      <c r="F150" s="34" t="str">
        <f>IF(A150="","",VALUE(貼り付け用!$B$2&amp;"1日")+MOD(ROW(A149)-1,DAY(EOMONTH(貼り付け用!$B$2&amp;"1日",0))))</f>
        <v/>
      </c>
      <c r="G150" s="34"/>
      <c r="H150" s="44" t="str">
        <f ca="1">IF(A150&lt;&gt;"",OFFSET('まとめ（登園）'!$B$1,MATCH(CSVフォーム!A150,'まとめ（登園）'!$B:$B,0)-1,MATCH(DAY(F150),'まとめ（登園）'!$2:$2,0)-2),"")</f>
        <v/>
      </c>
      <c r="I150" s="44" t="str">
        <f ca="1">IF(A150&lt;&gt;"",OFFSET('まとめ（降園）'!$B$1,MATCH(CSVフォーム!A150,'まとめ（降園）'!$B:$B,0)-1,MATCH(DAY(F150),'まとめ（降園）'!$2:$2,0)-2),"")</f>
        <v/>
      </c>
    </row>
    <row r="151" spans="1:9" ht="17.399999999999999" customHeight="1" x14ac:dyDescent="0.5">
      <c r="A151" s="33" t="str">
        <f t="array" ref="A151">IFERROR(INDEX('まとめ（登園）'!$B$3:$B$500,INT((ROW(A150)-1)/DAY(EOMONTH(貼り付け用!$B$2&amp;"1日",0)))+1)&amp;"","")</f>
        <v/>
      </c>
      <c r="B151" s="33" t="str">
        <f>IF(A151&lt;&gt;"",VLOOKUP(A151,子どもマスタ!$A$1:$F$301,2,FALSE),"")</f>
        <v/>
      </c>
      <c r="C151" s="34" t="str">
        <f>IF(A151&lt;&gt;"",
TEXT(VALUE(REPLACE(VLOOKUP(A151,子どもマスタ!$A$1:$F$301,5,FALSE),
FIND("(",VLOOKUP(A151,子どもマスタ!$A$1:$F$301,5,FALSE)),
FIND(")",VLOOKUP(A151,子どもマスタ!$A$1:$F$301,5,FALSE))
-FIND("(",VLOOKUP(A151,子どもマスタ!$A$1:$F$301,5,FALSE))+1,"")),"yyyy/mm/dd"),"")</f>
        <v/>
      </c>
      <c r="D151" s="35"/>
      <c r="E151" s="36"/>
      <c r="F151" s="34" t="str">
        <f>IF(A151="","",VALUE(貼り付け用!$B$2&amp;"1日")+MOD(ROW(A150)-1,DAY(EOMONTH(貼り付け用!$B$2&amp;"1日",0))))</f>
        <v/>
      </c>
      <c r="G151" s="34"/>
      <c r="H151" s="44" t="str">
        <f ca="1">IF(A151&lt;&gt;"",OFFSET('まとめ（登園）'!$B$1,MATCH(CSVフォーム!A151,'まとめ（登園）'!$B:$B,0)-1,MATCH(DAY(F151),'まとめ（登園）'!$2:$2,0)-2),"")</f>
        <v/>
      </c>
      <c r="I151" s="44" t="str">
        <f ca="1">IF(A151&lt;&gt;"",OFFSET('まとめ（降園）'!$B$1,MATCH(CSVフォーム!A151,'まとめ（降園）'!$B:$B,0)-1,MATCH(DAY(F151),'まとめ（降園）'!$2:$2,0)-2),"")</f>
        <v/>
      </c>
    </row>
    <row r="152" spans="1:9" ht="17.399999999999999" customHeight="1" x14ac:dyDescent="0.5">
      <c r="A152" s="33" t="str">
        <f t="array" ref="A152">IFERROR(INDEX('まとめ（登園）'!$B$3:$B$500,INT((ROW(A151)-1)/DAY(EOMONTH(貼り付け用!$B$2&amp;"1日",0)))+1)&amp;"","")</f>
        <v/>
      </c>
      <c r="B152" s="33" t="str">
        <f>IF(A152&lt;&gt;"",VLOOKUP(A152,子どもマスタ!$A$1:$F$301,2,FALSE),"")</f>
        <v/>
      </c>
      <c r="C152" s="34" t="str">
        <f>IF(A152&lt;&gt;"",
TEXT(VALUE(REPLACE(VLOOKUP(A152,子どもマスタ!$A$1:$F$301,5,FALSE),
FIND("(",VLOOKUP(A152,子どもマスタ!$A$1:$F$301,5,FALSE)),
FIND(")",VLOOKUP(A152,子どもマスタ!$A$1:$F$301,5,FALSE))
-FIND("(",VLOOKUP(A152,子どもマスタ!$A$1:$F$301,5,FALSE))+1,"")),"yyyy/mm/dd"),"")</f>
        <v/>
      </c>
      <c r="D152" s="35"/>
      <c r="E152" s="36"/>
      <c r="F152" s="34" t="str">
        <f>IF(A152="","",VALUE(貼り付け用!$B$2&amp;"1日")+MOD(ROW(A151)-1,DAY(EOMONTH(貼り付け用!$B$2&amp;"1日",0))))</f>
        <v/>
      </c>
      <c r="G152" s="34"/>
      <c r="H152" s="44" t="str">
        <f ca="1">IF(A152&lt;&gt;"",OFFSET('まとめ（登園）'!$B$1,MATCH(CSVフォーム!A152,'まとめ（登園）'!$B:$B,0)-1,MATCH(DAY(F152),'まとめ（登園）'!$2:$2,0)-2),"")</f>
        <v/>
      </c>
      <c r="I152" s="44" t="str">
        <f ca="1">IF(A152&lt;&gt;"",OFFSET('まとめ（降園）'!$B$1,MATCH(CSVフォーム!A152,'まとめ（降園）'!$B:$B,0)-1,MATCH(DAY(F152),'まとめ（降園）'!$2:$2,0)-2),"")</f>
        <v/>
      </c>
    </row>
    <row r="153" spans="1:9" ht="17.399999999999999" customHeight="1" x14ac:dyDescent="0.5">
      <c r="A153" s="33" t="str">
        <f t="array" ref="A153">IFERROR(INDEX('まとめ（登園）'!$B$3:$B$500,INT((ROW(A152)-1)/DAY(EOMONTH(貼り付け用!$B$2&amp;"1日",0)))+1)&amp;"","")</f>
        <v/>
      </c>
      <c r="B153" s="33" t="str">
        <f>IF(A153&lt;&gt;"",VLOOKUP(A153,子どもマスタ!$A$1:$F$301,2,FALSE),"")</f>
        <v/>
      </c>
      <c r="C153" s="34" t="str">
        <f>IF(A153&lt;&gt;"",
TEXT(VALUE(REPLACE(VLOOKUP(A153,子どもマスタ!$A$1:$F$301,5,FALSE),
FIND("(",VLOOKUP(A153,子どもマスタ!$A$1:$F$301,5,FALSE)),
FIND(")",VLOOKUP(A153,子どもマスタ!$A$1:$F$301,5,FALSE))
-FIND("(",VLOOKUP(A153,子どもマスタ!$A$1:$F$301,5,FALSE))+1,"")),"yyyy/mm/dd"),"")</f>
        <v/>
      </c>
      <c r="D153" s="35"/>
      <c r="E153" s="36"/>
      <c r="F153" s="34" t="str">
        <f>IF(A153="","",VALUE(貼り付け用!$B$2&amp;"1日")+MOD(ROW(A152)-1,DAY(EOMONTH(貼り付け用!$B$2&amp;"1日",0))))</f>
        <v/>
      </c>
      <c r="G153" s="34"/>
      <c r="H153" s="44" t="str">
        <f ca="1">IF(A153&lt;&gt;"",OFFSET('まとめ（登園）'!$B$1,MATCH(CSVフォーム!A153,'まとめ（登園）'!$B:$B,0)-1,MATCH(DAY(F153),'まとめ（登園）'!$2:$2,0)-2),"")</f>
        <v/>
      </c>
      <c r="I153" s="44" t="str">
        <f ca="1">IF(A153&lt;&gt;"",OFFSET('まとめ（降園）'!$B$1,MATCH(CSVフォーム!A153,'まとめ（降園）'!$B:$B,0)-1,MATCH(DAY(F153),'まとめ（降園）'!$2:$2,0)-2),"")</f>
        <v/>
      </c>
    </row>
    <row r="154" spans="1:9" ht="17.399999999999999" customHeight="1" x14ac:dyDescent="0.5">
      <c r="A154" s="33" t="str">
        <f t="array" ref="A154">IFERROR(INDEX('まとめ（登園）'!$B$3:$B$500,INT((ROW(A153)-1)/DAY(EOMONTH(貼り付け用!$B$2&amp;"1日",0)))+1)&amp;"","")</f>
        <v/>
      </c>
      <c r="B154" s="33" t="str">
        <f>IF(A154&lt;&gt;"",VLOOKUP(A154,子どもマスタ!$A$1:$F$301,2,FALSE),"")</f>
        <v/>
      </c>
      <c r="C154" s="34" t="str">
        <f>IF(A154&lt;&gt;"",
TEXT(VALUE(REPLACE(VLOOKUP(A154,子どもマスタ!$A$1:$F$301,5,FALSE),
FIND("(",VLOOKUP(A154,子どもマスタ!$A$1:$F$301,5,FALSE)),
FIND(")",VLOOKUP(A154,子どもマスタ!$A$1:$F$301,5,FALSE))
-FIND("(",VLOOKUP(A154,子どもマスタ!$A$1:$F$301,5,FALSE))+1,"")),"yyyy/mm/dd"),"")</f>
        <v/>
      </c>
      <c r="D154" s="35"/>
      <c r="E154" s="36"/>
      <c r="F154" s="34" t="str">
        <f>IF(A154="","",VALUE(貼り付け用!$B$2&amp;"1日")+MOD(ROW(A153)-1,DAY(EOMONTH(貼り付け用!$B$2&amp;"1日",0))))</f>
        <v/>
      </c>
      <c r="G154" s="34"/>
      <c r="H154" s="44" t="str">
        <f ca="1">IF(A154&lt;&gt;"",OFFSET('まとめ（登園）'!$B$1,MATCH(CSVフォーム!A154,'まとめ（登園）'!$B:$B,0)-1,MATCH(DAY(F154),'まとめ（登園）'!$2:$2,0)-2),"")</f>
        <v/>
      </c>
      <c r="I154" s="44" t="str">
        <f ca="1">IF(A154&lt;&gt;"",OFFSET('まとめ（降園）'!$B$1,MATCH(CSVフォーム!A154,'まとめ（降園）'!$B:$B,0)-1,MATCH(DAY(F154),'まとめ（降園）'!$2:$2,0)-2),"")</f>
        <v/>
      </c>
    </row>
    <row r="155" spans="1:9" ht="17.399999999999999" customHeight="1" x14ac:dyDescent="0.5">
      <c r="A155" s="33" t="str">
        <f t="array" ref="A155">IFERROR(INDEX('まとめ（登園）'!$B$3:$B$500,INT((ROW(A154)-1)/DAY(EOMONTH(貼り付け用!$B$2&amp;"1日",0)))+1)&amp;"","")</f>
        <v/>
      </c>
      <c r="B155" s="33" t="str">
        <f>IF(A155&lt;&gt;"",VLOOKUP(A155,子どもマスタ!$A$1:$F$301,2,FALSE),"")</f>
        <v/>
      </c>
      <c r="C155" s="34" t="str">
        <f>IF(A155&lt;&gt;"",
TEXT(VALUE(REPLACE(VLOOKUP(A155,子どもマスタ!$A$1:$F$301,5,FALSE),
FIND("(",VLOOKUP(A155,子どもマスタ!$A$1:$F$301,5,FALSE)),
FIND(")",VLOOKUP(A155,子どもマスタ!$A$1:$F$301,5,FALSE))
-FIND("(",VLOOKUP(A155,子どもマスタ!$A$1:$F$301,5,FALSE))+1,"")),"yyyy/mm/dd"),"")</f>
        <v/>
      </c>
      <c r="D155" s="35"/>
      <c r="E155" s="36"/>
      <c r="F155" s="34" t="str">
        <f>IF(A155="","",VALUE(貼り付け用!$B$2&amp;"1日")+MOD(ROW(A154)-1,DAY(EOMONTH(貼り付け用!$B$2&amp;"1日",0))))</f>
        <v/>
      </c>
      <c r="G155" s="34"/>
      <c r="H155" s="44" t="str">
        <f ca="1">IF(A155&lt;&gt;"",OFFSET('まとめ（登園）'!$B$1,MATCH(CSVフォーム!A155,'まとめ（登園）'!$B:$B,0)-1,MATCH(DAY(F155),'まとめ（登園）'!$2:$2,0)-2),"")</f>
        <v/>
      </c>
      <c r="I155" s="44" t="str">
        <f ca="1">IF(A155&lt;&gt;"",OFFSET('まとめ（降園）'!$B$1,MATCH(CSVフォーム!A155,'まとめ（降園）'!$B:$B,0)-1,MATCH(DAY(F155),'まとめ（降園）'!$2:$2,0)-2),"")</f>
        <v/>
      </c>
    </row>
    <row r="156" spans="1:9" ht="17.399999999999999" customHeight="1" x14ac:dyDescent="0.5">
      <c r="A156" s="33" t="str">
        <f t="array" ref="A156">IFERROR(INDEX('まとめ（登園）'!$B$3:$B$500,INT((ROW(A155)-1)/DAY(EOMONTH(貼り付け用!$B$2&amp;"1日",0)))+1)&amp;"","")</f>
        <v/>
      </c>
      <c r="B156" s="33" t="str">
        <f>IF(A156&lt;&gt;"",VLOOKUP(A156,子どもマスタ!$A$1:$F$301,2,FALSE),"")</f>
        <v/>
      </c>
      <c r="C156" s="34" t="str">
        <f>IF(A156&lt;&gt;"",
TEXT(VALUE(REPLACE(VLOOKUP(A156,子どもマスタ!$A$1:$F$301,5,FALSE),
FIND("(",VLOOKUP(A156,子どもマスタ!$A$1:$F$301,5,FALSE)),
FIND(")",VLOOKUP(A156,子どもマスタ!$A$1:$F$301,5,FALSE))
-FIND("(",VLOOKUP(A156,子どもマスタ!$A$1:$F$301,5,FALSE))+1,"")),"yyyy/mm/dd"),"")</f>
        <v/>
      </c>
      <c r="D156" s="35"/>
      <c r="E156" s="36"/>
      <c r="F156" s="34" t="str">
        <f>IF(A156="","",VALUE(貼り付け用!$B$2&amp;"1日")+MOD(ROW(A155)-1,DAY(EOMONTH(貼り付け用!$B$2&amp;"1日",0))))</f>
        <v/>
      </c>
      <c r="G156" s="34"/>
      <c r="H156" s="44" t="str">
        <f ca="1">IF(A156&lt;&gt;"",OFFSET('まとめ（登園）'!$B$1,MATCH(CSVフォーム!A156,'まとめ（登園）'!$B:$B,0)-1,MATCH(DAY(F156),'まとめ（登園）'!$2:$2,0)-2),"")</f>
        <v/>
      </c>
      <c r="I156" s="44" t="str">
        <f ca="1">IF(A156&lt;&gt;"",OFFSET('まとめ（降園）'!$B$1,MATCH(CSVフォーム!A156,'まとめ（降園）'!$B:$B,0)-1,MATCH(DAY(F156),'まとめ（降園）'!$2:$2,0)-2),"")</f>
        <v/>
      </c>
    </row>
    <row r="157" spans="1:9" ht="17.399999999999999" customHeight="1" x14ac:dyDescent="0.5">
      <c r="A157" s="33" t="str">
        <f t="array" ref="A157">IFERROR(INDEX('まとめ（登園）'!$B$3:$B$500,INT((ROW(A156)-1)/DAY(EOMONTH(貼り付け用!$B$2&amp;"1日",0)))+1)&amp;"","")</f>
        <v/>
      </c>
      <c r="B157" s="33" t="str">
        <f>IF(A157&lt;&gt;"",VLOOKUP(A157,子どもマスタ!$A$1:$F$301,2,FALSE),"")</f>
        <v/>
      </c>
      <c r="C157" s="34" t="str">
        <f>IF(A157&lt;&gt;"",
TEXT(VALUE(REPLACE(VLOOKUP(A157,子どもマスタ!$A$1:$F$301,5,FALSE),
FIND("(",VLOOKUP(A157,子どもマスタ!$A$1:$F$301,5,FALSE)),
FIND(")",VLOOKUP(A157,子どもマスタ!$A$1:$F$301,5,FALSE))
-FIND("(",VLOOKUP(A157,子どもマスタ!$A$1:$F$301,5,FALSE))+1,"")),"yyyy/mm/dd"),"")</f>
        <v/>
      </c>
      <c r="D157" s="35"/>
      <c r="E157" s="36"/>
      <c r="F157" s="34" t="str">
        <f>IF(A157="","",VALUE(貼り付け用!$B$2&amp;"1日")+MOD(ROW(A156)-1,DAY(EOMONTH(貼り付け用!$B$2&amp;"1日",0))))</f>
        <v/>
      </c>
      <c r="G157" s="34"/>
      <c r="H157" s="44" t="str">
        <f ca="1">IF(A157&lt;&gt;"",OFFSET('まとめ（登園）'!$B$1,MATCH(CSVフォーム!A157,'まとめ（登園）'!$B:$B,0)-1,MATCH(DAY(F157),'まとめ（登園）'!$2:$2,0)-2),"")</f>
        <v/>
      </c>
      <c r="I157" s="44" t="str">
        <f ca="1">IF(A157&lt;&gt;"",OFFSET('まとめ（降園）'!$B$1,MATCH(CSVフォーム!A157,'まとめ（降園）'!$B:$B,0)-1,MATCH(DAY(F157),'まとめ（降園）'!$2:$2,0)-2),"")</f>
        <v/>
      </c>
    </row>
    <row r="158" spans="1:9" ht="17.399999999999999" customHeight="1" x14ac:dyDescent="0.5">
      <c r="A158" s="33" t="str">
        <f t="array" ref="A158">IFERROR(INDEX('まとめ（登園）'!$B$3:$B$500,INT((ROW(A157)-1)/DAY(EOMONTH(貼り付け用!$B$2&amp;"1日",0)))+1)&amp;"","")</f>
        <v/>
      </c>
      <c r="B158" s="33" t="str">
        <f>IF(A158&lt;&gt;"",VLOOKUP(A158,子どもマスタ!$A$1:$F$301,2,FALSE),"")</f>
        <v/>
      </c>
      <c r="C158" s="34" t="str">
        <f>IF(A158&lt;&gt;"",
TEXT(VALUE(REPLACE(VLOOKUP(A158,子どもマスタ!$A$1:$F$301,5,FALSE),
FIND("(",VLOOKUP(A158,子どもマスタ!$A$1:$F$301,5,FALSE)),
FIND(")",VLOOKUP(A158,子どもマスタ!$A$1:$F$301,5,FALSE))
-FIND("(",VLOOKUP(A158,子どもマスタ!$A$1:$F$301,5,FALSE))+1,"")),"yyyy/mm/dd"),"")</f>
        <v/>
      </c>
      <c r="D158" s="35"/>
      <c r="E158" s="36"/>
      <c r="F158" s="34" t="str">
        <f>IF(A158="","",VALUE(貼り付け用!$B$2&amp;"1日")+MOD(ROW(A157)-1,DAY(EOMONTH(貼り付け用!$B$2&amp;"1日",0))))</f>
        <v/>
      </c>
      <c r="G158" s="34"/>
      <c r="H158" s="44" t="str">
        <f ca="1">IF(A158&lt;&gt;"",OFFSET('まとめ（登園）'!$B$1,MATCH(CSVフォーム!A158,'まとめ（登園）'!$B:$B,0)-1,MATCH(DAY(F158),'まとめ（登園）'!$2:$2,0)-2),"")</f>
        <v/>
      </c>
      <c r="I158" s="44" t="str">
        <f ca="1">IF(A158&lt;&gt;"",OFFSET('まとめ（降園）'!$B$1,MATCH(CSVフォーム!A158,'まとめ（降園）'!$B:$B,0)-1,MATCH(DAY(F158),'まとめ（降園）'!$2:$2,0)-2),"")</f>
        <v/>
      </c>
    </row>
    <row r="159" spans="1:9" ht="17.399999999999999" customHeight="1" x14ac:dyDescent="0.5">
      <c r="A159" s="33" t="str">
        <f t="array" ref="A159">IFERROR(INDEX('まとめ（登園）'!$B$3:$B$500,INT((ROW(A158)-1)/DAY(EOMONTH(貼り付け用!$B$2&amp;"1日",0)))+1)&amp;"","")</f>
        <v/>
      </c>
      <c r="B159" s="33" t="str">
        <f>IF(A159&lt;&gt;"",VLOOKUP(A159,子どもマスタ!$A$1:$F$301,2,FALSE),"")</f>
        <v/>
      </c>
      <c r="C159" s="34" t="str">
        <f>IF(A159&lt;&gt;"",
TEXT(VALUE(REPLACE(VLOOKUP(A159,子どもマスタ!$A$1:$F$301,5,FALSE),
FIND("(",VLOOKUP(A159,子どもマスタ!$A$1:$F$301,5,FALSE)),
FIND(")",VLOOKUP(A159,子どもマスタ!$A$1:$F$301,5,FALSE))
-FIND("(",VLOOKUP(A159,子どもマスタ!$A$1:$F$301,5,FALSE))+1,"")),"yyyy/mm/dd"),"")</f>
        <v/>
      </c>
      <c r="D159" s="35"/>
      <c r="E159" s="36"/>
      <c r="F159" s="34" t="str">
        <f>IF(A159="","",VALUE(貼り付け用!$B$2&amp;"1日")+MOD(ROW(A158)-1,DAY(EOMONTH(貼り付け用!$B$2&amp;"1日",0))))</f>
        <v/>
      </c>
      <c r="G159" s="34"/>
      <c r="H159" s="44" t="str">
        <f ca="1">IF(A159&lt;&gt;"",OFFSET('まとめ（登園）'!$B$1,MATCH(CSVフォーム!A159,'まとめ（登園）'!$B:$B,0)-1,MATCH(DAY(F159),'まとめ（登園）'!$2:$2,0)-2),"")</f>
        <v/>
      </c>
      <c r="I159" s="44" t="str">
        <f ca="1">IF(A159&lt;&gt;"",OFFSET('まとめ（降園）'!$B$1,MATCH(CSVフォーム!A159,'まとめ（降園）'!$B:$B,0)-1,MATCH(DAY(F159),'まとめ（降園）'!$2:$2,0)-2),"")</f>
        <v/>
      </c>
    </row>
    <row r="160" spans="1:9" ht="17.399999999999999" customHeight="1" x14ac:dyDescent="0.5">
      <c r="A160" s="33" t="str">
        <f t="array" ref="A160">IFERROR(INDEX('まとめ（登園）'!$B$3:$B$500,INT((ROW(A159)-1)/DAY(EOMONTH(貼り付け用!$B$2&amp;"1日",0)))+1)&amp;"","")</f>
        <v/>
      </c>
      <c r="B160" s="33" t="str">
        <f>IF(A160&lt;&gt;"",VLOOKUP(A160,子どもマスタ!$A$1:$F$301,2,FALSE),"")</f>
        <v/>
      </c>
      <c r="C160" s="34" t="str">
        <f>IF(A160&lt;&gt;"",
TEXT(VALUE(REPLACE(VLOOKUP(A160,子どもマスタ!$A$1:$F$301,5,FALSE),
FIND("(",VLOOKUP(A160,子どもマスタ!$A$1:$F$301,5,FALSE)),
FIND(")",VLOOKUP(A160,子どもマスタ!$A$1:$F$301,5,FALSE))
-FIND("(",VLOOKUP(A160,子どもマスタ!$A$1:$F$301,5,FALSE))+1,"")),"yyyy/mm/dd"),"")</f>
        <v/>
      </c>
      <c r="D160" s="35"/>
      <c r="E160" s="36"/>
      <c r="F160" s="34" t="str">
        <f>IF(A160="","",VALUE(貼り付け用!$B$2&amp;"1日")+MOD(ROW(A159)-1,DAY(EOMONTH(貼り付け用!$B$2&amp;"1日",0))))</f>
        <v/>
      </c>
      <c r="G160" s="34"/>
      <c r="H160" s="44" t="str">
        <f ca="1">IF(A160&lt;&gt;"",OFFSET('まとめ（登園）'!$B$1,MATCH(CSVフォーム!A160,'まとめ（登園）'!$B:$B,0)-1,MATCH(DAY(F160),'まとめ（登園）'!$2:$2,0)-2),"")</f>
        <v/>
      </c>
      <c r="I160" s="44" t="str">
        <f ca="1">IF(A160&lt;&gt;"",OFFSET('まとめ（降園）'!$B$1,MATCH(CSVフォーム!A160,'まとめ（降園）'!$B:$B,0)-1,MATCH(DAY(F160),'まとめ（降園）'!$2:$2,0)-2),"")</f>
        <v/>
      </c>
    </row>
    <row r="161" spans="1:9" ht="17.399999999999999" customHeight="1" x14ac:dyDescent="0.5">
      <c r="A161" s="33" t="str">
        <f t="array" ref="A161">IFERROR(INDEX('まとめ（登園）'!$B$3:$B$500,INT((ROW(A160)-1)/DAY(EOMONTH(貼り付け用!$B$2&amp;"1日",0)))+1)&amp;"","")</f>
        <v/>
      </c>
      <c r="B161" s="33" t="str">
        <f>IF(A161&lt;&gt;"",VLOOKUP(A161,子どもマスタ!$A$1:$F$301,2,FALSE),"")</f>
        <v/>
      </c>
      <c r="C161" s="34" t="str">
        <f>IF(A161&lt;&gt;"",
TEXT(VALUE(REPLACE(VLOOKUP(A161,子どもマスタ!$A$1:$F$301,5,FALSE),
FIND("(",VLOOKUP(A161,子どもマスタ!$A$1:$F$301,5,FALSE)),
FIND(")",VLOOKUP(A161,子どもマスタ!$A$1:$F$301,5,FALSE))
-FIND("(",VLOOKUP(A161,子どもマスタ!$A$1:$F$301,5,FALSE))+1,"")),"yyyy/mm/dd"),"")</f>
        <v/>
      </c>
      <c r="D161" s="35"/>
      <c r="E161" s="36"/>
      <c r="F161" s="34" t="str">
        <f>IF(A161="","",VALUE(貼り付け用!$B$2&amp;"1日")+MOD(ROW(A160)-1,DAY(EOMONTH(貼り付け用!$B$2&amp;"1日",0))))</f>
        <v/>
      </c>
      <c r="G161" s="34"/>
      <c r="H161" s="44" t="str">
        <f ca="1">IF(A161&lt;&gt;"",OFFSET('まとめ（登園）'!$B$1,MATCH(CSVフォーム!A161,'まとめ（登園）'!$B:$B,0)-1,MATCH(DAY(F161),'まとめ（登園）'!$2:$2,0)-2),"")</f>
        <v/>
      </c>
      <c r="I161" s="44" t="str">
        <f ca="1">IF(A161&lt;&gt;"",OFFSET('まとめ（降園）'!$B$1,MATCH(CSVフォーム!A161,'まとめ（降園）'!$B:$B,0)-1,MATCH(DAY(F161),'まとめ（降園）'!$2:$2,0)-2),"")</f>
        <v/>
      </c>
    </row>
    <row r="162" spans="1:9" ht="17.399999999999999" customHeight="1" x14ac:dyDescent="0.5">
      <c r="A162" s="33" t="str">
        <f t="array" ref="A162">IFERROR(INDEX('まとめ（登園）'!$B$3:$B$500,INT((ROW(A161)-1)/DAY(EOMONTH(貼り付け用!$B$2&amp;"1日",0)))+1)&amp;"","")</f>
        <v/>
      </c>
      <c r="B162" s="33" t="str">
        <f>IF(A162&lt;&gt;"",VLOOKUP(A162,子どもマスタ!$A$1:$F$301,2,FALSE),"")</f>
        <v/>
      </c>
      <c r="C162" s="34" t="str">
        <f>IF(A162&lt;&gt;"",
TEXT(VALUE(REPLACE(VLOOKUP(A162,子どもマスタ!$A$1:$F$301,5,FALSE),
FIND("(",VLOOKUP(A162,子どもマスタ!$A$1:$F$301,5,FALSE)),
FIND(")",VLOOKUP(A162,子どもマスタ!$A$1:$F$301,5,FALSE))
-FIND("(",VLOOKUP(A162,子どもマスタ!$A$1:$F$301,5,FALSE))+1,"")),"yyyy/mm/dd"),"")</f>
        <v/>
      </c>
      <c r="D162" s="35"/>
      <c r="E162" s="36"/>
      <c r="F162" s="34" t="str">
        <f>IF(A162="","",VALUE(貼り付け用!$B$2&amp;"1日")+MOD(ROW(A161)-1,DAY(EOMONTH(貼り付け用!$B$2&amp;"1日",0))))</f>
        <v/>
      </c>
      <c r="G162" s="34"/>
      <c r="H162" s="44" t="str">
        <f ca="1">IF(A162&lt;&gt;"",OFFSET('まとめ（登園）'!$B$1,MATCH(CSVフォーム!A162,'まとめ（登園）'!$B:$B,0)-1,MATCH(DAY(F162),'まとめ（登園）'!$2:$2,0)-2),"")</f>
        <v/>
      </c>
      <c r="I162" s="44" t="str">
        <f ca="1">IF(A162&lt;&gt;"",OFFSET('まとめ（降園）'!$B$1,MATCH(CSVフォーム!A162,'まとめ（降園）'!$B:$B,0)-1,MATCH(DAY(F162),'まとめ（降園）'!$2:$2,0)-2),"")</f>
        <v/>
      </c>
    </row>
    <row r="163" spans="1:9" ht="17.399999999999999" customHeight="1" x14ac:dyDescent="0.5">
      <c r="A163" s="33" t="str">
        <f t="array" ref="A163">IFERROR(INDEX('まとめ（登園）'!$B$3:$B$500,INT((ROW(A162)-1)/DAY(EOMONTH(貼り付け用!$B$2&amp;"1日",0)))+1)&amp;"","")</f>
        <v/>
      </c>
      <c r="B163" s="33" t="str">
        <f>IF(A163&lt;&gt;"",VLOOKUP(A163,子どもマスタ!$A$1:$F$301,2,FALSE),"")</f>
        <v/>
      </c>
      <c r="C163" s="34" t="str">
        <f>IF(A163&lt;&gt;"",
TEXT(VALUE(REPLACE(VLOOKUP(A163,子どもマスタ!$A$1:$F$301,5,FALSE),
FIND("(",VLOOKUP(A163,子どもマスタ!$A$1:$F$301,5,FALSE)),
FIND(")",VLOOKUP(A163,子どもマスタ!$A$1:$F$301,5,FALSE))
-FIND("(",VLOOKUP(A163,子どもマスタ!$A$1:$F$301,5,FALSE))+1,"")),"yyyy/mm/dd"),"")</f>
        <v/>
      </c>
      <c r="D163" s="35"/>
      <c r="E163" s="36"/>
      <c r="F163" s="34" t="str">
        <f>IF(A163="","",VALUE(貼り付け用!$B$2&amp;"1日")+MOD(ROW(A162)-1,DAY(EOMONTH(貼り付け用!$B$2&amp;"1日",0))))</f>
        <v/>
      </c>
      <c r="G163" s="34"/>
      <c r="H163" s="44" t="str">
        <f ca="1">IF(A163&lt;&gt;"",OFFSET('まとめ（登園）'!$B$1,MATCH(CSVフォーム!A163,'まとめ（登園）'!$B:$B,0)-1,MATCH(DAY(F163),'まとめ（登園）'!$2:$2,0)-2),"")</f>
        <v/>
      </c>
      <c r="I163" s="44" t="str">
        <f ca="1">IF(A163&lt;&gt;"",OFFSET('まとめ（降園）'!$B$1,MATCH(CSVフォーム!A163,'まとめ（降園）'!$B:$B,0)-1,MATCH(DAY(F163),'まとめ（降園）'!$2:$2,0)-2),"")</f>
        <v/>
      </c>
    </row>
    <row r="164" spans="1:9" ht="17.399999999999999" customHeight="1" x14ac:dyDescent="0.5">
      <c r="A164" s="33" t="str">
        <f t="array" ref="A164">IFERROR(INDEX('まとめ（登園）'!$B$3:$B$500,INT((ROW(A163)-1)/DAY(EOMONTH(貼り付け用!$B$2&amp;"1日",0)))+1)&amp;"","")</f>
        <v/>
      </c>
      <c r="B164" s="33" t="str">
        <f>IF(A164&lt;&gt;"",VLOOKUP(A164,子どもマスタ!$A$1:$F$301,2,FALSE),"")</f>
        <v/>
      </c>
      <c r="C164" s="34" t="str">
        <f>IF(A164&lt;&gt;"",
TEXT(VALUE(REPLACE(VLOOKUP(A164,子どもマスタ!$A$1:$F$301,5,FALSE),
FIND("(",VLOOKUP(A164,子どもマスタ!$A$1:$F$301,5,FALSE)),
FIND(")",VLOOKUP(A164,子どもマスタ!$A$1:$F$301,5,FALSE))
-FIND("(",VLOOKUP(A164,子どもマスタ!$A$1:$F$301,5,FALSE))+1,"")),"yyyy/mm/dd"),"")</f>
        <v/>
      </c>
      <c r="D164" s="35"/>
      <c r="E164" s="36"/>
      <c r="F164" s="34" t="str">
        <f>IF(A164="","",VALUE(貼り付け用!$B$2&amp;"1日")+MOD(ROW(A163)-1,DAY(EOMONTH(貼り付け用!$B$2&amp;"1日",0))))</f>
        <v/>
      </c>
      <c r="G164" s="34"/>
      <c r="H164" s="44" t="str">
        <f ca="1">IF(A164&lt;&gt;"",OFFSET('まとめ（登園）'!$B$1,MATCH(CSVフォーム!A164,'まとめ（登園）'!$B:$B,0)-1,MATCH(DAY(F164),'まとめ（登園）'!$2:$2,0)-2),"")</f>
        <v/>
      </c>
      <c r="I164" s="44" t="str">
        <f ca="1">IF(A164&lt;&gt;"",OFFSET('まとめ（降園）'!$B$1,MATCH(CSVフォーム!A164,'まとめ（降園）'!$B:$B,0)-1,MATCH(DAY(F164),'まとめ（降園）'!$2:$2,0)-2),"")</f>
        <v/>
      </c>
    </row>
    <row r="165" spans="1:9" ht="17.399999999999999" customHeight="1" x14ac:dyDescent="0.5">
      <c r="A165" s="33" t="str">
        <f t="array" ref="A165">IFERROR(INDEX('まとめ（登園）'!$B$3:$B$500,INT((ROW(A164)-1)/DAY(EOMONTH(貼り付け用!$B$2&amp;"1日",0)))+1)&amp;"","")</f>
        <v/>
      </c>
      <c r="B165" s="33" t="str">
        <f>IF(A165&lt;&gt;"",VLOOKUP(A165,子どもマスタ!$A$1:$F$301,2,FALSE),"")</f>
        <v/>
      </c>
      <c r="C165" s="34" t="str">
        <f>IF(A165&lt;&gt;"",
TEXT(VALUE(REPLACE(VLOOKUP(A165,子どもマスタ!$A$1:$F$301,5,FALSE),
FIND("(",VLOOKUP(A165,子どもマスタ!$A$1:$F$301,5,FALSE)),
FIND(")",VLOOKUP(A165,子どもマスタ!$A$1:$F$301,5,FALSE))
-FIND("(",VLOOKUP(A165,子どもマスタ!$A$1:$F$301,5,FALSE))+1,"")),"yyyy/mm/dd"),"")</f>
        <v/>
      </c>
      <c r="D165" s="35"/>
      <c r="E165" s="36"/>
      <c r="F165" s="34" t="str">
        <f>IF(A165="","",VALUE(貼り付け用!$B$2&amp;"1日")+MOD(ROW(A164)-1,DAY(EOMONTH(貼り付け用!$B$2&amp;"1日",0))))</f>
        <v/>
      </c>
      <c r="G165" s="34"/>
      <c r="H165" s="44" t="str">
        <f ca="1">IF(A165&lt;&gt;"",OFFSET('まとめ（登園）'!$B$1,MATCH(CSVフォーム!A165,'まとめ（登園）'!$B:$B,0)-1,MATCH(DAY(F165),'まとめ（登園）'!$2:$2,0)-2),"")</f>
        <v/>
      </c>
      <c r="I165" s="44" t="str">
        <f ca="1">IF(A165&lt;&gt;"",OFFSET('まとめ（降園）'!$B$1,MATCH(CSVフォーム!A165,'まとめ（降園）'!$B:$B,0)-1,MATCH(DAY(F165),'まとめ（降園）'!$2:$2,0)-2),"")</f>
        <v/>
      </c>
    </row>
    <row r="166" spans="1:9" ht="17.399999999999999" customHeight="1" x14ac:dyDescent="0.5">
      <c r="A166" s="33" t="str">
        <f t="array" ref="A166">IFERROR(INDEX('まとめ（登園）'!$B$3:$B$500,INT((ROW(A165)-1)/DAY(EOMONTH(貼り付け用!$B$2&amp;"1日",0)))+1)&amp;"","")</f>
        <v/>
      </c>
      <c r="B166" s="33" t="str">
        <f>IF(A166&lt;&gt;"",VLOOKUP(A166,子どもマスタ!$A$1:$F$301,2,FALSE),"")</f>
        <v/>
      </c>
      <c r="C166" s="34" t="str">
        <f>IF(A166&lt;&gt;"",
TEXT(VALUE(REPLACE(VLOOKUP(A166,子どもマスタ!$A$1:$F$301,5,FALSE),
FIND("(",VLOOKUP(A166,子どもマスタ!$A$1:$F$301,5,FALSE)),
FIND(")",VLOOKUP(A166,子どもマスタ!$A$1:$F$301,5,FALSE))
-FIND("(",VLOOKUP(A166,子どもマスタ!$A$1:$F$301,5,FALSE))+1,"")),"yyyy/mm/dd"),"")</f>
        <v/>
      </c>
      <c r="D166" s="35"/>
      <c r="E166" s="36"/>
      <c r="F166" s="34" t="str">
        <f>IF(A166="","",VALUE(貼り付け用!$B$2&amp;"1日")+MOD(ROW(A165)-1,DAY(EOMONTH(貼り付け用!$B$2&amp;"1日",0))))</f>
        <v/>
      </c>
      <c r="G166" s="34"/>
      <c r="H166" s="44" t="str">
        <f ca="1">IF(A166&lt;&gt;"",OFFSET('まとめ（登園）'!$B$1,MATCH(CSVフォーム!A166,'まとめ（登園）'!$B:$B,0)-1,MATCH(DAY(F166),'まとめ（登園）'!$2:$2,0)-2),"")</f>
        <v/>
      </c>
      <c r="I166" s="44" t="str">
        <f ca="1">IF(A166&lt;&gt;"",OFFSET('まとめ（降園）'!$B$1,MATCH(CSVフォーム!A166,'まとめ（降園）'!$B:$B,0)-1,MATCH(DAY(F166),'まとめ（降園）'!$2:$2,0)-2),"")</f>
        <v/>
      </c>
    </row>
    <row r="167" spans="1:9" ht="17.399999999999999" customHeight="1" x14ac:dyDescent="0.5">
      <c r="A167" s="33" t="str">
        <f t="array" ref="A167">IFERROR(INDEX('まとめ（登園）'!$B$3:$B$500,INT((ROW(A166)-1)/DAY(EOMONTH(貼り付け用!$B$2&amp;"1日",0)))+1)&amp;"","")</f>
        <v/>
      </c>
      <c r="B167" s="33" t="str">
        <f>IF(A167&lt;&gt;"",VLOOKUP(A167,子どもマスタ!$A$1:$F$301,2,FALSE),"")</f>
        <v/>
      </c>
      <c r="C167" s="34" t="str">
        <f>IF(A167&lt;&gt;"",
TEXT(VALUE(REPLACE(VLOOKUP(A167,子どもマスタ!$A$1:$F$301,5,FALSE),
FIND("(",VLOOKUP(A167,子どもマスタ!$A$1:$F$301,5,FALSE)),
FIND(")",VLOOKUP(A167,子どもマスタ!$A$1:$F$301,5,FALSE))
-FIND("(",VLOOKUP(A167,子どもマスタ!$A$1:$F$301,5,FALSE))+1,"")),"yyyy/mm/dd"),"")</f>
        <v/>
      </c>
      <c r="D167" s="35"/>
      <c r="E167" s="36"/>
      <c r="F167" s="34" t="str">
        <f>IF(A167="","",VALUE(貼り付け用!$B$2&amp;"1日")+MOD(ROW(A166)-1,DAY(EOMONTH(貼り付け用!$B$2&amp;"1日",0))))</f>
        <v/>
      </c>
      <c r="G167" s="34"/>
      <c r="H167" s="44" t="str">
        <f ca="1">IF(A167&lt;&gt;"",OFFSET('まとめ（登園）'!$B$1,MATCH(CSVフォーム!A167,'まとめ（登園）'!$B:$B,0)-1,MATCH(DAY(F167),'まとめ（登園）'!$2:$2,0)-2),"")</f>
        <v/>
      </c>
      <c r="I167" s="44" t="str">
        <f ca="1">IF(A167&lt;&gt;"",OFFSET('まとめ（降園）'!$B$1,MATCH(CSVフォーム!A167,'まとめ（降園）'!$B:$B,0)-1,MATCH(DAY(F167),'まとめ（降園）'!$2:$2,0)-2),"")</f>
        <v/>
      </c>
    </row>
    <row r="168" spans="1:9" ht="17.399999999999999" customHeight="1" x14ac:dyDescent="0.5">
      <c r="A168" s="33" t="str">
        <f t="array" ref="A168">IFERROR(INDEX('まとめ（登園）'!$B$3:$B$500,INT((ROW(A167)-1)/DAY(EOMONTH(貼り付け用!$B$2&amp;"1日",0)))+1)&amp;"","")</f>
        <v/>
      </c>
      <c r="B168" s="33" t="str">
        <f>IF(A168&lt;&gt;"",VLOOKUP(A168,子どもマスタ!$A$1:$F$301,2,FALSE),"")</f>
        <v/>
      </c>
      <c r="C168" s="34" t="str">
        <f>IF(A168&lt;&gt;"",
TEXT(VALUE(REPLACE(VLOOKUP(A168,子どもマスタ!$A$1:$F$301,5,FALSE),
FIND("(",VLOOKUP(A168,子どもマスタ!$A$1:$F$301,5,FALSE)),
FIND(")",VLOOKUP(A168,子どもマスタ!$A$1:$F$301,5,FALSE))
-FIND("(",VLOOKUP(A168,子どもマスタ!$A$1:$F$301,5,FALSE))+1,"")),"yyyy/mm/dd"),"")</f>
        <v/>
      </c>
      <c r="D168" s="35"/>
      <c r="E168" s="36"/>
      <c r="F168" s="34" t="str">
        <f>IF(A168="","",VALUE(貼り付け用!$B$2&amp;"1日")+MOD(ROW(A167)-1,DAY(EOMONTH(貼り付け用!$B$2&amp;"1日",0))))</f>
        <v/>
      </c>
      <c r="G168" s="34"/>
      <c r="H168" s="44" t="str">
        <f ca="1">IF(A168&lt;&gt;"",OFFSET('まとめ（登園）'!$B$1,MATCH(CSVフォーム!A168,'まとめ（登園）'!$B:$B,0)-1,MATCH(DAY(F168),'まとめ（登園）'!$2:$2,0)-2),"")</f>
        <v/>
      </c>
      <c r="I168" s="44" t="str">
        <f ca="1">IF(A168&lt;&gt;"",OFFSET('まとめ（降園）'!$B$1,MATCH(CSVフォーム!A168,'まとめ（降園）'!$B:$B,0)-1,MATCH(DAY(F168),'まとめ（降園）'!$2:$2,0)-2),"")</f>
        <v/>
      </c>
    </row>
    <row r="169" spans="1:9" ht="17.399999999999999" customHeight="1" x14ac:dyDescent="0.5">
      <c r="A169" s="33" t="str">
        <f t="array" ref="A169">IFERROR(INDEX('まとめ（登園）'!$B$3:$B$500,INT((ROW(A168)-1)/DAY(EOMONTH(貼り付け用!$B$2&amp;"1日",0)))+1)&amp;"","")</f>
        <v/>
      </c>
      <c r="B169" s="33" t="str">
        <f>IF(A169&lt;&gt;"",VLOOKUP(A169,子どもマスタ!$A$1:$F$301,2,FALSE),"")</f>
        <v/>
      </c>
      <c r="C169" s="34" t="str">
        <f>IF(A169&lt;&gt;"",
TEXT(VALUE(REPLACE(VLOOKUP(A169,子どもマスタ!$A$1:$F$301,5,FALSE),
FIND("(",VLOOKUP(A169,子どもマスタ!$A$1:$F$301,5,FALSE)),
FIND(")",VLOOKUP(A169,子どもマスタ!$A$1:$F$301,5,FALSE))
-FIND("(",VLOOKUP(A169,子どもマスタ!$A$1:$F$301,5,FALSE))+1,"")),"yyyy/mm/dd"),"")</f>
        <v/>
      </c>
      <c r="D169" s="35"/>
      <c r="E169" s="36"/>
      <c r="F169" s="34" t="str">
        <f>IF(A169="","",VALUE(貼り付け用!$B$2&amp;"1日")+MOD(ROW(A168)-1,DAY(EOMONTH(貼り付け用!$B$2&amp;"1日",0))))</f>
        <v/>
      </c>
      <c r="G169" s="34"/>
      <c r="H169" s="44" t="str">
        <f ca="1">IF(A169&lt;&gt;"",OFFSET('まとめ（登園）'!$B$1,MATCH(CSVフォーム!A169,'まとめ（登園）'!$B:$B,0)-1,MATCH(DAY(F169),'まとめ（登園）'!$2:$2,0)-2),"")</f>
        <v/>
      </c>
      <c r="I169" s="44" t="str">
        <f ca="1">IF(A169&lt;&gt;"",OFFSET('まとめ（降園）'!$B$1,MATCH(CSVフォーム!A169,'まとめ（降園）'!$B:$B,0)-1,MATCH(DAY(F169),'まとめ（降園）'!$2:$2,0)-2),"")</f>
        <v/>
      </c>
    </row>
    <row r="170" spans="1:9" ht="17.399999999999999" customHeight="1" x14ac:dyDescent="0.5">
      <c r="A170" s="33" t="str">
        <f t="array" ref="A170">IFERROR(INDEX('まとめ（登園）'!$B$3:$B$500,INT((ROW(A169)-1)/DAY(EOMONTH(貼り付け用!$B$2&amp;"1日",0)))+1)&amp;"","")</f>
        <v/>
      </c>
      <c r="B170" s="33" t="str">
        <f>IF(A170&lt;&gt;"",VLOOKUP(A170,子どもマスタ!$A$1:$F$301,2,FALSE),"")</f>
        <v/>
      </c>
      <c r="C170" s="34" t="str">
        <f>IF(A170&lt;&gt;"",
TEXT(VALUE(REPLACE(VLOOKUP(A170,子どもマスタ!$A$1:$F$301,5,FALSE),
FIND("(",VLOOKUP(A170,子どもマスタ!$A$1:$F$301,5,FALSE)),
FIND(")",VLOOKUP(A170,子どもマスタ!$A$1:$F$301,5,FALSE))
-FIND("(",VLOOKUP(A170,子どもマスタ!$A$1:$F$301,5,FALSE))+1,"")),"yyyy/mm/dd"),"")</f>
        <v/>
      </c>
      <c r="D170" s="35"/>
      <c r="E170" s="36"/>
      <c r="F170" s="34" t="str">
        <f>IF(A170="","",VALUE(貼り付け用!$B$2&amp;"1日")+MOD(ROW(A169)-1,DAY(EOMONTH(貼り付け用!$B$2&amp;"1日",0))))</f>
        <v/>
      </c>
      <c r="G170" s="34"/>
      <c r="H170" s="44" t="str">
        <f ca="1">IF(A170&lt;&gt;"",OFFSET('まとめ（登園）'!$B$1,MATCH(CSVフォーム!A170,'まとめ（登園）'!$B:$B,0)-1,MATCH(DAY(F170),'まとめ（登園）'!$2:$2,0)-2),"")</f>
        <v/>
      </c>
      <c r="I170" s="44" t="str">
        <f ca="1">IF(A170&lt;&gt;"",OFFSET('まとめ（降園）'!$B$1,MATCH(CSVフォーム!A170,'まとめ（降園）'!$B:$B,0)-1,MATCH(DAY(F170),'まとめ（降園）'!$2:$2,0)-2),"")</f>
        <v/>
      </c>
    </row>
    <row r="171" spans="1:9" ht="17.399999999999999" customHeight="1" x14ac:dyDescent="0.5">
      <c r="A171" s="33" t="str">
        <f t="array" ref="A171">IFERROR(INDEX('まとめ（登園）'!$B$3:$B$500,INT((ROW(A170)-1)/DAY(EOMONTH(貼り付け用!$B$2&amp;"1日",0)))+1)&amp;"","")</f>
        <v/>
      </c>
      <c r="B171" s="33" t="str">
        <f>IF(A171&lt;&gt;"",VLOOKUP(A171,子どもマスタ!$A$1:$F$301,2,FALSE),"")</f>
        <v/>
      </c>
      <c r="C171" s="34" t="str">
        <f>IF(A171&lt;&gt;"",
TEXT(VALUE(REPLACE(VLOOKUP(A171,子どもマスタ!$A$1:$F$301,5,FALSE),
FIND("(",VLOOKUP(A171,子どもマスタ!$A$1:$F$301,5,FALSE)),
FIND(")",VLOOKUP(A171,子どもマスタ!$A$1:$F$301,5,FALSE))
-FIND("(",VLOOKUP(A171,子どもマスタ!$A$1:$F$301,5,FALSE))+1,"")),"yyyy/mm/dd"),"")</f>
        <v/>
      </c>
      <c r="D171" s="35"/>
      <c r="E171" s="36"/>
      <c r="F171" s="34" t="str">
        <f>IF(A171="","",VALUE(貼り付け用!$B$2&amp;"1日")+MOD(ROW(A170)-1,DAY(EOMONTH(貼り付け用!$B$2&amp;"1日",0))))</f>
        <v/>
      </c>
      <c r="G171" s="34"/>
      <c r="H171" s="44" t="str">
        <f ca="1">IF(A171&lt;&gt;"",OFFSET('まとめ（登園）'!$B$1,MATCH(CSVフォーム!A171,'まとめ（登園）'!$B:$B,0)-1,MATCH(DAY(F171),'まとめ（登園）'!$2:$2,0)-2),"")</f>
        <v/>
      </c>
      <c r="I171" s="44" t="str">
        <f ca="1">IF(A171&lt;&gt;"",OFFSET('まとめ（降園）'!$B$1,MATCH(CSVフォーム!A171,'まとめ（降園）'!$B:$B,0)-1,MATCH(DAY(F171),'まとめ（降園）'!$2:$2,0)-2),"")</f>
        <v/>
      </c>
    </row>
    <row r="172" spans="1:9" ht="17.399999999999999" customHeight="1" x14ac:dyDescent="0.5">
      <c r="A172" s="33" t="str">
        <f t="array" ref="A172">IFERROR(INDEX('まとめ（登園）'!$B$3:$B$500,INT((ROW(A171)-1)/DAY(EOMONTH(貼り付け用!$B$2&amp;"1日",0)))+1)&amp;"","")</f>
        <v/>
      </c>
      <c r="B172" s="33" t="str">
        <f>IF(A172&lt;&gt;"",VLOOKUP(A172,子どもマスタ!$A$1:$F$301,2,FALSE),"")</f>
        <v/>
      </c>
      <c r="C172" s="34" t="str">
        <f>IF(A172&lt;&gt;"",
TEXT(VALUE(REPLACE(VLOOKUP(A172,子どもマスタ!$A$1:$F$301,5,FALSE),
FIND("(",VLOOKUP(A172,子どもマスタ!$A$1:$F$301,5,FALSE)),
FIND(")",VLOOKUP(A172,子どもマスタ!$A$1:$F$301,5,FALSE))
-FIND("(",VLOOKUP(A172,子どもマスタ!$A$1:$F$301,5,FALSE))+1,"")),"yyyy/mm/dd"),"")</f>
        <v/>
      </c>
      <c r="D172" s="35"/>
      <c r="E172" s="36"/>
      <c r="F172" s="34" t="str">
        <f>IF(A172="","",VALUE(貼り付け用!$B$2&amp;"1日")+MOD(ROW(A171)-1,DAY(EOMONTH(貼り付け用!$B$2&amp;"1日",0))))</f>
        <v/>
      </c>
      <c r="G172" s="34"/>
      <c r="H172" s="44" t="str">
        <f ca="1">IF(A172&lt;&gt;"",OFFSET('まとめ（登園）'!$B$1,MATCH(CSVフォーム!A172,'まとめ（登園）'!$B:$B,0)-1,MATCH(DAY(F172),'まとめ（登園）'!$2:$2,0)-2),"")</f>
        <v/>
      </c>
      <c r="I172" s="44" t="str">
        <f ca="1">IF(A172&lt;&gt;"",OFFSET('まとめ（降園）'!$B$1,MATCH(CSVフォーム!A172,'まとめ（降園）'!$B:$B,0)-1,MATCH(DAY(F172),'まとめ（降園）'!$2:$2,0)-2),"")</f>
        <v/>
      </c>
    </row>
    <row r="173" spans="1:9" ht="17.399999999999999" customHeight="1" x14ac:dyDescent="0.5">
      <c r="A173" s="33" t="str">
        <f t="array" ref="A173">IFERROR(INDEX('まとめ（登園）'!$B$3:$B$500,INT((ROW(A172)-1)/DAY(EOMONTH(貼り付け用!$B$2&amp;"1日",0)))+1)&amp;"","")</f>
        <v/>
      </c>
      <c r="B173" s="33" t="str">
        <f>IF(A173&lt;&gt;"",VLOOKUP(A173,子どもマスタ!$A$1:$F$301,2,FALSE),"")</f>
        <v/>
      </c>
      <c r="C173" s="34" t="str">
        <f>IF(A173&lt;&gt;"",
TEXT(VALUE(REPLACE(VLOOKUP(A173,子どもマスタ!$A$1:$F$301,5,FALSE),
FIND("(",VLOOKUP(A173,子どもマスタ!$A$1:$F$301,5,FALSE)),
FIND(")",VLOOKUP(A173,子どもマスタ!$A$1:$F$301,5,FALSE))
-FIND("(",VLOOKUP(A173,子どもマスタ!$A$1:$F$301,5,FALSE))+1,"")),"yyyy/mm/dd"),"")</f>
        <v/>
      </c>
      <c r="D173" s="35"/>
      <c r="E173" s="36"/>
      <c r="F173" s="34" t="str">
        <f>IF(A173="","",VALUE(貼り付け用!$B$2&amp;"1日")+MOD(ROW(A172)-1,DAY(EOMONTH(貼り付け用!$B$2&amp;"1日",0))))</f>
        <v/>
      </c>
      <c r="G173" s="34"/>
      <c r="H173" s="44" t="str">
        <f ca="1">IF(A173&lt;&gt;"",OFFSET('まとめ（登園）'!$B$1,MATCH(CSVフォーム!A173,'まとめ（登園）'!$B:$B,0)-1,MATCH(DAY(F173),'まとめ（登園）'!$2:$2,0)-2),"")</f>
        <v/>
      </c>
      <c r="I173" s="44" t="str">
        <f ca="1">IF(A173&lt;&gt;"",OFFSET('まとめ（降園）'!$B$1,MATCH(CSVフォーム!A173,'まとめ（降園）'!$B:$B,0)-1,MATCH(DAY(F173),'まとめ（降園）'!$2:$2,0)-2),"")</f>
        <v/>
      </c>
    </row>
    <row r="174" spans="1:9" ht="17.399999999999999" customHeight="1" x14ac:dyDescent="0.5">
      <c r="A174" s="33" t="str">
        <f t="array" ref="A174">IFERROR(INDEX('まとめ（登園）'!$B$3:$B$500,INT((ROW(A173)-1)/DAY(EOMONTH(貼り付け用!$B$2&amp;"1日",0)))+1)&amp;"","")</f>
        <v/>
      </c>
      <c r="B174" s="33" t="str">
        <f>IF(A174&lt;&gt;"",VLOOKUP(A174,子どもマスタ!$A$1:$F$301,2,FALSE),"")</f>
        <v/>
      </c>
      <c r="C174" s="34" t="str">
        <f>IF(A174&lt;&gt;"",
TEXT(VALUE(REPLACE(VLOOKUP(A174,子どもマスタ!$A$1:$F$301,5,FALSE),
FIND("(",VLOOKUP(A174,子どもマスタ!$A$1:$F$301,5,FALSE)),
FIND(")",VLOOKUP(A174,子どもマスタ!$A$1:$F$301,5,FALSE))
-FIND("(",VLOOKUP(A174,子どもマスタ!$A$1:$F$301,5,FALSE))+1,"")),"yyyy/mm/dd"),"")</f>
        <v/>
      </c>
      <c r="D174" s="35"/>
      <c r="E174" s="36"/>
      <c r="F174" s="34" t="str">
        <f>IF(A174="","",VALUE(貼り付け用!$B$2&amp;"1日")+MOD(ROW(A173)-1,DAY(EOMONTH(貼り付け用!$B$2&amp;"1日",0))))</f>
        <v/>
      </c>
      <c r="G174" s="34"/>
      <c r="H174" s="44" t="str">
        <f ca="1">IF(A174&lt;&gt;"",OFFSET('まとめ（登園）'!$B$1,MATCH(CSVフォーム!A174,'まとめ（登園）'!$B:$B,0)-1,MATCH(DAY(F174),'まとめ（登園）'!$2:$2,0)-2),"")</f>
        <v/>
      </c>
      <c r="I174" s="44" t="str">
        <f ca="1">IF(A174&lt;&gt;"",OFFSET('まとめ（降園）'!$B$1,MATCH(CSVフォーム!A174,'まとめ（降園）'!$B:$B,0)-1,MATCH(DAY(F174),'まとめ（降園）'!$2:$2,0)-2),"")</f>
        <v/>
      </c>
    </row>
    <row r="175" spans="1:9" ht="17.399999999999999" customHeight="1" x14ac:dyDescent="0.5">
      <c r="A175" s="33" t="str">
        <f t="array" ref="A175">IFERROR(INDEX('まとめ（登園）'!$B$3:$B$500,INT((ROW(A174)-1)/DAY(EOMONTH(貼り付け用!$B$2&amp;"1日",0)))+1)&amp;"","")</f>
        <v/>
      </c>
      <c r="B175" s="33" t="str">
        <f>IF(A175&lt;&gt;"",VLOOKUP(A175,子どもマスタ!$A$1:$F$301,2,FALSE),"")</f>
        <v/>
      </c>
      <c r="C175" s="34" t="str">
        <f>IF(A175&lt;&gt;"",
TEXT(VALUE(REPLACE(VLOOKUP(A175,子どもマスタ!$A$1:$F$301,5,FALSE),
FIND("(",VLOOKUP(A175,子どもマスタ!$A$1:$F$301,5,FALSE)),
FIND(")",VLOOKUP(A175,子どもマスタ!$A$1:$F$301,5,FALSE))
-FIND("(",VLOOKUP(A175,子どもマスタ!$A$1:$F$301,5,FALSE))+1,"")),"yyyy/mm/dd"),"")</f>
        <v/>
      </c>
      <c r="D175" s="35"/>
      <c r="E175" s="36"/>
      <c r="F175" s="34" t="str">
        <f>IF(A175="","",VALUE(貼り付け用!$B$2&amp;"1日")+MOD(ROW(A174)-1,DAY(EOMONTH(貼り付け用!$B$2&amp;"1日",0))))</f>
        <v/>
      </c>
      <c r="G175" s="34"/>
      <c r="H175" s="44" t="str">
        <f ca="1">IF(A175&lt;&gt;"",OFFSET('まとめ（登園）'!$B$1,MATCH(CSVフォーム!A175,'まとめ（登園）'!$B:$B,0)-1,MATCH(DAY(F175),'まとめ（登園）'!$2:$2,0)-2),"")</f>
        <v/>
      </c>
      <c r="I175" s="44" t="str">
        <f ca="1">IF(A175&lt;&gt;"",OFFSET('まとめ（降園）'!$B$1,MATCH(CSVフォーム!A175,'まとめ（降園）'!$B:$B,0)-1,MATCH(DAY(F175),'まとめ（降園）'!$2:$2,0)-2),"")</f>
        <v/>
      </c>
    </row>
    <row r="176" spans="1:9" ht="17.399999999999999" customHeight="1" x14ac:dyDescent="0.5">
      <c r="A176" s="33" t="str">
        <f t="array" ref="A176">IFERROR(INDEX('まとめ（登園）'!$B$3:$B$500,INT((ROW(A175)-1)/DAY(EOMONTH(貼り付け用!$B$2&amp;"1日",0)))+1)&amp;"","")</f>
        <v/>
      </c>
      <c r="B176" s="33" t="str">
        <f>IF(A176&lt;&gt;"",VLOOKUP(A176,子どもマスタ!$A$1:$F$301,2,FALSE),"")</f>
        <v/>
      </c>
      <c r="C176" s="34" t="str">
        <f>IF(A176&lt;&gt;"",
TEXT(VALUE(REPLACE(VLOOKUP(A176,子どもマスタ!$A$1:$F$301,5,FALSE),
FIND("(",VLOOKUP(A176,子どもマスタ!$A$1:$F$301,5,FALSE)),
FIND(")",VLOOKUP(A176,子どもマスタ!$A$1:$F$301,5,FALSE))
-FIND("(",VLOOKUP(A176,子どもマスタ!$A$1:$F$301,5,FALSE))+1,"")),"yyyy/mm/dd"),"")</f>
        <v/>
      </c>
      <c r="D176" s="35"/>
      <c r="E176" s="36"/>
      <c r="F176" s="34" t="str">
        <f>IF(A176="","",VALUE(貼り付け用!$B$2&amp;"1日")+MOD(ROW(A175)-1,DAY(EOMONTH(貼り付け用!$B$2&amp;"1日",0))))</f>
        <v/>
      </c>
      <c r="G176" s="34"/>
      <c r="H176" s="44" t="str">
        <f ca="1">IF(A176&lt;&gt;"",OFFSET('まとめ（登園）'!$B$1,MATCH(CSVフォーム!A176,'まとめ（登園）'!$B:$B,0)-1,MATCH(DAY(F176),'まとめ（登園）'!$2:$2,0)-2),"")</f>
        <v/>
      </c>
      <c r="I176" s="44" t="str">
        <f ca="1">IF(A176&lt;&gt;"",OFFSET('まとめ（降園）'!$B$1,MATCH(CSVフォーム!A176,'まとめ（降園）'!$B:$B,0)-1,MATCH(DAY(F176),'まとめ（降園）'!$2:$2,0)-2),"")</f>
        <v/>
      </c>
    </row>
    <row r="177" spans="1:9" ht="17.399999999999999" customHeight="1" x14ac:dyDescent="0.5">
      <c r="A177" s="33" t="str">
        <f t="array" ref="A177">IFERROR(INDEX('まとめ（登園）'!$B$3:$B$500,INT((ROW(A176)-1)/DAY(EOMONTH(貼り付け用!$B$2&amp;"1日",0)))+1)&amp;"","")</f>
        <v/>
      </c>
      <c r="B177" s="33" t="str">
        <f>IF(A177&lt;&gt;"",VLOOKUP(A177,子どもマスタ!$A$1:$F$301,2,FALSE),"")</f>
        <v/>
      </c>
      <c r="C177" s="34" t="str">
        <f>IF(A177&lt;&gt;"",
TEXT(VALUE(REPLACE(VLOOKUP(A177,子どもマスタ!$A$1:$F$301,5,FALSE),
FIND("(",VLOOKUP(A177,子どもマスタ!$A$1:$F$301,5,FALSE)),
FIND(")",VLOOKUP(A177,子どもマスタ!$A$1:$F$301,5,FALSE))
-FIND("(",VLOOKUP(A177,子どもマスタ!$A$1:$F$301,5,FALSE))+1,"")),"yyyy/mm/dd"),"")</f>
        <v/>
      </c>
      <c r="D177" s="35"/>
      <c r="E177" s="36"/>
      <c r="F177" s="34" t="str">
        <f>IF(A177="","",VALUE(貼り付け用!$B$2&amp;"1日")+MOD(ROW(A176)-1,DAY(EOMONTH(貼り付け用!$B$2&amp;"1日",0))))</f>
        <v/>
      </c>
      <c r="G177" s="34"/>
      <c r="H177" s="44" t="str">
        <f ca="1">IF(A177&lt;&gt;"",OFFSET('まとめ（登園）'!$B$1,MATCH(CSVフォーム!A177,'まとめ（登園）'!$B:$B,0)-1,MATCH(DAY(F177),'まとめ（登園）'!$2:$2,0)-2),"")</f>
        <v/>
      </c>
      <c r="I177" s="44" t="str">
        <f ca="1">IF(A177&lt;&gt;"",OFFSET('まとめ（降園）'!$B$1,MATCH(CSVフォーム!A177,'まとめ（降園）'!$B:$B,0)-1,MATCH(DAY(F177),'まとめ（降園）'!$2:$2,0)-2),"")</f>
        <v/>
      </c>
    </row>
    <row r="178" spans="1:9" ht="17.399999999999999" customHeight="1" x14ac:dyDescent="0.5">
      <c r="A178" s="33" t="str">
        <f t="array" ref="A178">IFERROR(INDEX('まとめ（登園）'!$B$3:$B$500,INT((ROW(A177)-1)/DAY(EOMONTH(貼り付け用!$B$2&amp;"1日",0)))+1)&amp;"","")</f>
        <v/>
      </c>
      <c r="B178" s="33" t="str">
        <f>IF(A178&lt;&gt;"",VLOOKUP(A178,子どもマスタ!$A$1:$F$301,2,FALSE),"")</f>
        <v/>
      </c>
      <c r="C178" s="34" t="str">
        <f>IF(A178&lt;&gt;"",
TEXT(VALUE(REPLACE(VLOOKUP(A178,子どもマスタ!$A$1:$F$301,5,FALSE),
FIND("(",VLOOKUP(A178,子どもマスタ!$A$1:$F$301,5,FALSE)),
FIND(")",VLOOKUP(A178,子どもマスタ!$A$1:$F$301,5,FALSE))
-FIND("(",VLOOKUP(A178,子どもマスタ!$A$1:$F$301,5,FALSE))+1,"")),"yyyy/mm/dd"),"")</f>
        <v/>
      </c>
      <c r="D178" s="35"/>
      <c r="E178" s="36"/>
      <c r="F178" s="34" t="str">
        <f>IF(A178="","",VALUE(貼り付け用!$B$2&amp;"1日")+MOD(ROW(A177)-1,DAY(EOMONTH(貼り付け用!$B$2&amp;"1日",0))))</f>
        <v/>
      </c>
      <c r="G178" s="34"/>
      <c r="H178" s="44" t="str">
        <f ca="1">IF(A178&lt;&gt;"",OFFSET('まとめ（登園）'!$B$1,MATCH(CSVフォーム!A178,'まとめ（登園）'!$B:$B,0)-1,MATCH(DAY(F178),'まとめ（登園）'!$2:$2,0)-2),"")</f>
        <v/>
      </c>
      <c r="I178" s="44" t="str">
        <f ca="1">IF(A178&lt;&gt;"",OFFSET('まとめ（降園）'!$B$1,MATCH(CSVフォーム!A178,'まとめ（降園）'!$B:$B,0)-1,MATCH(DAY(F178),'まとめ（降園）'!$2:$2,0)-2),"")</f>
        <v/>
      </c>
    </row>
    <row r="179" spans="1:9" ht="17.399999999999999" customHeight="1" x14ac:dyDescent="0.5">
      <c r="A179" s="33" t="str">
        <f t="array" ref="A179">IFERROR(INDEX('まとめ（登園）'!$B$3:$B$500,INT((ROW(A178)-1)/DAY(EOMONTH(貼り付け用!$B$2&amp;"1日",0)))+1)&amp;"","")</f>
        <v/>
      </c>
      <c r="B179" s="33" t="str">
        <f>IF(A179&lt;&gt;"",VLOOKUP(A179,子どもマスタ!$A$1:$F$301,2,FALSE),"")</f>
        <v/>
      </c>
      <c r="C179" s="34" t="str">
        <f>IF(A179&lt;&gt;"",
TEXT(VALUE(REPLACE(VLOOKUP(A179,子どもマスタ!$A$1:$F$301,5,FALSE),
FIND("(",VLOOKUP(A179,子どもマスタ!$A$1:$F$301,5,FALSE)),
FIND(")",VLOOKUP(A179,子どもマスタ!$A$1:$F$301,5,FALSE))
-FIND("(",VLOOKUP(A179,子どもマスタ!$A$1:$F$301,5,FALSE))+1,"")),"yyyy/mm/dd"),"")</f>
        <v/>
      </c>
      <c r="D179" s="35"/>
      <c r="E179" s="36"/>
      <c r="F179" s="34" t="str">
        <f>IF(A179="","",VALUE(貼り付け用!$B$2&amp;"1日")+MOD(ROW(A178)-1,DAY(EOMONTH(貼り付け用!$B$2&amp;"1日",0))))</f>
        <v/>
      </c>
      <c r="G179" s="34"/>
      <c r="H179" s="44" t="str">
        <f ca="1">IF(A179&lt;&gt;"",OFFSET('まとめ（登園）'!$B$1,MATCH(CSVフォーム!A179,'まとめ（登園）'!$B:$B,0)-1,MATCH(DAY(F179),'まとめ（登園）'!$2:$2,0)-2),"")</f>
        <v/>
      </c>
      <c r="I179" s="44" t="str">
        <f ca="1">IF(A179&lt;&gt;"",OFFSET('まとめ（降園）'!$B$1,MATCH(CSVフォーム!A179,'まとめ（降園）'!$B:$B,0)-1,MATCH(DAY(F179),'まとめ（降園）'!$2:$2,0)-2),"")</f>
        <v/>
      </c>
    </row>
    <row r="180" spans="1:9" ht="17.399999999999999" customHeight="1" x14ac:dyDescent="0.5">
      <c r="A180" s="33" t="str">
        <f t="array" ref="A180">IFERROR(INDEX('まとめ（登園）'!$B$3:$B$500,INT((ROW(A179)-1)/DAY(EOMONTH(貼り付け用!$B$2&amp;"1日",0)))+1)&amp;"","")</f>
        <v/>
      </c>
      <c r="B180" s="33" t="str">
        <f>IF(A180&lt;&gt;"",VLOOKUP(A180,子どもマスタ!$A$1:$F$301,2,FALSE),"")</f>
        <v/>
      </c>
      <c r="C180" s="34" t="str">
        <f>IF(A180&lt;&gt;"",
TEXT(VALUE(REPLACE(VLOOKUP(A180,子どもマスタ!$A$1:$F$301,5,FALSE),
FIND("(",VLOOKUP(A180,子どもマスタ!$A$1:$F$301,5,FALSE)),
FIND(")",VLOOKUP(A180,子どもマスタ!$A$1:$F$301,5,FALSE))
-FIND("(",VLOOKUP(A180,子どもマスタ!$A$1:$F$301,5,FALSE))+1,"")),"yyyy/mm/dd"),"")</f>
        <v/>
      </c>
      <c r="D180" s="35"/>
      <c r="E180" s="36"/>
      <c r="F180" s="34" t="str">
        <f>IF(A180="","",VALUE(貼り付け用!$B$2&amp;"1日")+MOD(ROW(A179)-1,DAY(EOMONTH(貼り付け用!$B$2&amp;"1日",0))))</f>
        <v/>
      </c>
      <c r="G180" s="34"/>
      <c r="H180" s="44" t="str">
        <f ca="1">IF(A180&lt;&gt;"",OFFSET('まとめ（登園）'!$B$1,MATCH(CSVフォーム!A180,'まとめ（登園）'!$B:$B,0)-1,MATCH(DAY(F180),'まとめ（登園）'!$2:$2,0)-2),"")</f>
        <v/>
      </c>
      <c r="I180" s="44" t="str">
        <f ca="1">IF(A180&lt;&gt;"",OFFSET('まとめ（降園）'!$B$1,MATCH(CSVフォーム!A180,'まとめ（降園）'!$B:$B,0)-1,MATCH(DAY(F180),'まとめ（降園）'!$2:$2,0)-2),"")</f>
        <v/>
      </c>
    </row>
    <row r="181" spans="1:9" ht="17.399999999999999" customHeight="1" x14ac:dyDescent="0.5">
      <c r="A181" s="33" t="str">
        <f t="array" ref="A181">IFERROR(INDEX('まとめ（登園）'!$B$3:$B$500,INT((ROW(A180)-1)/DAY(EOMONTH(貼り付け用!$B$2&amp;"1日",0)))+1)&amp;"","")</f>
        <v/>
      </c>
      <c r="B181" s="33" t="str">
        <f>IF(A181&lt;&gt;"",VLOOKUP(A181,子どもマスタ!$A$1:$F$301,2,FALSE),"")</f>
        <v/>
      </c>
      <c r="C181" s="34" t="str">
        <f>IF(A181&lt;&gt;"",
TEXT(VALUE(REPLACE(VLOOKUP(A181,子どもマスタ!$A$1:$F$301,5,FALSE),
FIND("(",VLOOKUP(A181,子どもマスタ!$A$1:$F$301,5,FALSE)),
FIND(")",VLOOKUP(A181,子どもマスタ!$A$1:$F$301,5,FALSE))
-FIND("(",VLOOKUP(A181,子どもマスタ!$A$1:$F$301,5,FALSE))+1,"")),"yyyy/mm/dd"),"")</f>
        <v/>
      </c>
      <c r="D181" s="35"/>
      <c r="E181" s="36"/>
      <c r="F181" s="34" t="str">
        <f>IF(A181="","",VALUE(貼り付け用!$B$2&amp;"1日")+MOD(ROW(A180)-1,DAY(EOMONTH(貼り付け用!$B$2&amp;"1日",0))))</f>
        <v/>
      </c>
      <c r="G181" s="34"/>
      <c r="H181" s="44" t="str">
        <f ca="1">IF(A181&lt;&gt;"",OFFSET('まとめ（登園）'!$B$1,MATCH(CSVフォーム!A181,'まとめ（登園）'!$B:$B,0)-1,MATCH(DAY(F181),'まとめ（登園）'!$2:$2,0)-2),"")</f>
        <v/>
      </c>
      <c r="I181" s="44" t="str">
        <f ca="1">IF(A181&lt;&gt;"",OFFSET('まとめ（降園）'!$B$1,MATCH(CSVフォーム!A181,'まとめ（降園）'!$B:$B,0)-1,MATCH(DAY(F181),'まとめ（降園）'!$2:$2,0)-2),"")</f>
        <v/>
      </c>
    </row>
    <row r="182" spans="1:9" ht="17.399999999999999" customHeight="1" x14ac:dyDescent="0.5">
      <c r="A182" s="33" t="str">
        <f t="array" ref="A182">IFERROR(INDEX('まとめ（登園）'!$B$3:$B$500,INT((ROW(A181)-1)/DAY(EOMONTH(貼り付け用!$B$2&amp;"1日",0)))+1)&amp;"","")</f>
        <v/>
      </c>
      <c r="B182" s="33" t="str">
        <f>IF(A182&lt;&gt;"",VLOOKUP(A182,子どもマスタ!$A$1:$F$301,2,FALSE),"")</f>
        <v/>
      </c>
      <c r="C182" s="34" t="str">
        <f>IF(A182&lt;&gt;"",
TEXT(VALUE(REPLACE(VLOOKUP(A182,子どもマスタ!$A$1:$F$301,5,FALSE),
FIND("(",VLOOKUP(A182,子どもマスタ!$A$1:$F$301,5,FALSE)),
FIND(")",VLOOKUP(A182,子どもマスタ!$A$1:$F$301,5,FALSE))
-FIND("(",VLOOKUP(A182,子どもマスタ!$A$1:$F$301,5,FALSE))+1,"")),"yyyy/mm/dd"),"")</f>
        <v/>
      </c>
      <c r="D182" s="35"/>
      <c r="E182" s="36"/>
      <c r="F182" s="34" t="str">
        <f>IF(A182="","",VALUE(貼り付け用!$B$2&amp;"1日")+MOD(ROW(A181)-1,DAY(EOMONTH(貼り付け用!$B$2&amp;"1日",0))))</f>
        <v/>
      </c>
      <c r="G182" s="34"/>
      <c r="H182" s="44" t="str">
        <f ca="1">IF(A182&lt;&gt;"",OFFSET('まとめ（登園）'!$B$1,MATCH(CSVフォーム!A182,'まとめ（登園）'!$B:$B,0)-1,MATCH(DAY(F182),'まとめ（登園）'!$2:$2,0)-2),"")</f>
        <v/>
      </c>
      <c r="I182" s="44" t="str">
        <f ca="1">IF(A182&lt;&gt;"",OFFSET('まとめ（降園）'!$B$1,MATCH(CSVフォーム!A182,'まとめ（降園）'!$B:$B,0)-1,MATCH(DAY(F182),'まとめ（降園）'!$2:$2,0)-2),"")</f>
        <v/>
      </c>
    </row>
    <row r="183" spans="1:9" ht="17.399999999999999" customHeight="1" x14ac:dyDescent="0.5">
      <c r="A183" s="33" t="str">
        <f t="array" ref="A183">IFERROR(INDEX('まとめ（登園）'!$B$3:$B$500,INT((ROW(A182)-1)/DAY(EOMONTH(貼り付け用!$B$2&amp;"1日",0)))+1)&amp;"","")</f>
        <v/>
      </c>
      <c r="B183" s="33" t="str">
        <f>IF(A183&lt;&gt;"",VLOOKUP(A183,子どもマスタ!$A$1:$F$301,2,FALSE),"")</f>
        <v/>
      </c>
      <c r="C183" s="34" t="str">
        <f>IF(A183&lt;&gt;"",
TEXT(VALUE(REPLACE(VLOOKUP(A183,子どもマスタ!$A$1:$F$301,5,FALSE),
FIND("(",VLOOKUP(A183,子どもマスタ!$A$1:$F$301,5,FALSE)),
FIND(")",VLOOKUP(A183,子どもマスタ!$A$1:$F$301,5,FALSE))
-FIND("(",VLOOKUP(A183,子どもマスタ!$A$1:$F$301,5,FALSE))+1,"")),"yyyy/mm/dd"),"")</f>
        <v/>
      </c>
      <c r="D183" s="35"/>
      <c r="E183" s="36"/>
      <c r="F183" s="34" t="str">
        <f>IF(A183="","",VALUE(貼り付け用!$B$2&amp;"1日")+MOD(ROW(A182)-1,DAY(EOMONTH(貼り付け用!$B$2&amp;"1日",0))))</f>
        <v/>
      </c>
      <c r="G183" s="34"/>
      <c r="H183" s="44" t="str">
        <f ca="1">IF(A183&lt;&gt;"",OFFSET('まとめ（登園）'!$B$1,MATCH(CSVフォーム!A183,'まとめ（登園）'!$B:$B,0)-1,MATCH(DAY(F183),'まとめ（登園）'!$2:$2,0)-2),"")</f>
        <v/>
      </c>
      <c r="I183" s="44" t="str">
        <f ca="1">IF(A183&lt;&gt;"",OFFSET('まとめ（降園）'!$B$1,MATCH(CSVフォーム!A183,'まとめ（降園）'!$B:$B,0)-1,MATCH(DAY(F183),'まとめ（降園）'!$2:$2,0)-2),"")</f>
        <v/>
      </c>
    </row>
    <row r="184" spans="1:9" ht="17.399999999999999" customHeight="1" x14ac:dyDescent="0.5">
      <c r="A184" s="33" t="str">
        <f t="array" ref="A184">IFERROR(INDEX('まとめ（登園）'!$B$3:$B$500,INT((ROW(A183)-1)/DAY(EOMONTH(貼り付け用!$B$2&amp;"1日",0)))+1)&amp;"","")</f>
        <v/>
      </c>
      <c r="B184" s="33" t="str">
        <f>IF(A184&lt;&gt;"",VLOOKUP(A184,子どもマスタ!$A$1:$F$301,2,FALSE),"")</f>
        <v/>
      </c>
      <c r="C184" s="34" t="str">
        <f>IF(A184&lt;&gt;"",
TEXT(VALUE(REPLACE(VLOOKUP(A184,子どもマスタ!$A$1:$F$301,5,FALSE),
FIND("(",VLOOKUP(A184,子どもマスタ!$A$1:$F$301,5,FALSE)),
FIND(")",VLOOKUP(A184,子どもマスタ!$A$1:$F$301,5,FALSE))
-FIND("(",VLOOKUP(A184,子どもマスタ!$A$1:$F$301,5,FALSE))+1,"")),"yyyy/mm/dd"),"")</f>
        <v/>
      </c>
      <c r="D184" s="35"/>
      <c r="E184" s="36"/>
      <c r="F184" s="34" t="str">
        <f>IF(A184="","",VALUE(貼り付け用!$B$2&amp;"1日")+MOD(ROW(A183)-1,DAY(EOMONTH(貼り付け用!$B$2&amp;"1日",0))))</f>
        <v/>
      </c>
      <c r="G184" s="34"/>
      <c r="H184" s="44" t="str">
        <f ca="1">IF(A184&lt;&gt;"",OFFSET('まとめ（登園）'!$B$1,MATCH(CSVフォーム!A184,'まとめ（登園）'!$B:$B,0)-1,MATCH(DAY(F184),'まとめ（登園）'!$2:$2,0)-2),"")</f>
        <v/>
      </c>
      <c r="I184" s="44" t="str">
        <f ca="1">IF(A184&lt;&gt;"",OFFSET('まとめ（降園）'!$B$1,MATCH(CSVフォーム!A184,'まとめ（降園）'!$B:$B,0)-1,MATCH(DAY(F184),'まとめ（降園）'!$2:$2,0)-2),"")</f>
        <v/>
      </c>
    </row>
    <row r="185" spans="1:9" ht="17.399999999999999" customHeight="1" x14ac:dyDescent="0.5">
      <c r="A185" s="33" t="str">
        <f t="array" ref="A185">IFERROR(INDEX('まとめ（登園）'!$B$3:$B$500,INT((ROW(A184)-1)/DAY(EOMONTH(貼り付け用!$B$2&amp;"1日",0)))+1)&amp;"","")</f>
        <v/>
      </c>
      <c r="B185" s="33" t="str">
        <f>IF(A185&lt;&gt;"",VLOOKUP(A185,子どもマスタ!$A$1:$F$301,2,FALSE),"")</f>
        <v/>
      </c>
      <c r="C185" s="34" t="str">
        <f>IF(A185&lt;&gt;"",
TEXT(VALUE(REPLACE(VLOOKUP(A185,子どもマスタ!$A$1:$F$301,5,FALSE),
FIND("(",VLOOKUP(A185,子どもマスタ!$A$1:$F$301,5,FALSE)),
FIND(")",VLOOKUP(A185,子どもマスタ!$A$1:$F$301,5,FALSE))
-FIND("(",VLOOKUP(A185,子どもマスタ!$A$1:$F$301,5,FALSE))+1,"")),"yyyy/mm/dd"),"")</f>
        <v/>
      </c>
      <c r="D185" s="35"/>
      <c r="E185" s="36"/>
      <c r="F185" s="34" t="str">
        <f>IF(A185="","",VALUE(貼り付け用!$B$2&amp;"1日")+MOD(ROW(A184)-1,DAY(EOMONTH(貼り付け用!$B$2&amp;"1日",0))))</f>
        <v/>
      </c>
      <c r="G185" s="34"/>
      <c r="H185" s="44" t="str">
        <f ca="1">IF(A185&lt;&gt;"",OFFSET('まとめ（登園）'!$B$1,MATCH(CSVフォーム!A185,'まとめ（登園）'!$B:$B,0)-1,MATCH(DAY(F185),'まとめ（登園）'!$2:$2,0)-2),"")</f>
        <v/>
      </c>
      <c r="I185" s="44" t="str">
        <f ca="1">IF(A185&lt;&gt;"",OFFSET('まとめ（降園）'!$B$1,MATCH(CSVフォーム!A185,'まとめ（降園）'!$B:$B,0)-1,MATCH(DAY(F185),'まとめ（降園）'!$2:$2,0)-2),"")</f>
        <v/>
      </c>
    </row>
    <row r="186" spans="1:9" ht="17.399999999999999" customHeight="1" x14ac:dyDescent="0.5">
      <c r="A186" s="33" t="str">
        <f t="array" ref="A186">IFERROR(INDEX('まとめ（登園）'!$B$3:$B$500,INT((ROW(A185)-1)/DAY(EOMONTH(貼り付け用!$B$2&amp;"1日",0)))+1)&amp;"","")</f>
        <v/>
      </c>
      <c r="B186" s="33" t="str">
        <f>IF(A186&lt;&gt;"",VLOOKUP(A186,子どもマスタ!$A$1:$F$301,2,FALSE),"")</f>
        <v/>
      </c>
      <c r="C186" s="34" t="str">
        <f>IF(A186&lt;&gt;"",
TEXT(VALUE(REPLACE(VLOOKUP(A186,子どもマスタ!$A$1:$F$301,5,FALSE),
FIND("(",VLOOKUP(A186,子どもマスタ!$A$1:$F$301,5,FALSE)),
FIND(")",VLOOKUP(A186,子どもマスタ!$A$1:$F$301,5,FALSE))
-FIND("(",VLOOKUP(A186,子どもマスタ!$A$1:$F$301,5,FALSE))+1,"")),"yyyy/mm/dd"),"")</f>
        <v/>
      </c>
      <c r="D186" s="35"/>
      <c r="E186" s="36"/>
      <c r="F186" s="34" t="str">
        <f>IF(A186="","",VALUE(貼り付け用!$B$2&amp;"1日")+MOD(ROW(A185)-1,DAY(EOMONTH(貼り付け用!$B$2&amp;"1日",0))))</f>
        <v/>
      </c>
      <c r="G186" s="34"/>
      <c r="H186" s="44" t="str">
        <f ca="1">IF(A186&lt;&gt;"",OFFSET('まとめ（登園）'!$B$1,MATCH(CSVフォーム!A186,'まとめ（登園）'!$B:$B,0)-1,MATCH(DAY(F186),'まとめ（登園）'!$2:$2,0)-2),"")</f>
        <v/>
      </c>
      <c r="I186" s="44" t="str">
        <f ca="1">IF(A186&lt;&gt;"",OFFSET('まとめ（降園）'!$B$1,MATCH(CSVフォーム!A186,'まとめ（降園）'!$B:$B,0)-1,MATCH(DAY(F186),'まとめ（降園）'!$2:$2,0)-2),"")</f>
        <v/>
      </c>
    </row>
    <row r="187" spans="1:9" ht="17.399999999999999" customHeight="1" x14ac:dyDescent="0.5">
      <c r="A187" s="33" t="str">
        <f t="array" ref="A187">IFERROR(INDEX('まとめ（登園）'!$B$3:$B$500,INT((ROW(A186)-1)/DAY(EOMONTH(貼り付け用!$B$2&amp;"1日",0)))+1)&amp;"","")</f>
        <v/>
      </c>
      <c r="B187" s="33" t="str">
        <f>IF(A187&lt;&gt;"",VLOOKUP(A187,子どもマスタ!$A$1:$F$301,2,FALSE),"")</f>
        <v/>
      </c>
      <c r="C187" s="34" t="str">
        <f>IF(A187&lt;&gt;"",
TEXT(VALUE(REPLACE(VLOOKUP(A187,子どもマスタ!$A$1:$F$301,5,FALSE),
FIND("(",VLOOKUP(A187,子どもマスタ!$A$1:$F$301,5,FALSE)),
FIND(")",VLOOKUP(A187,子どもマスタ!$A$1:$F$301,5,FALSE))
-FIND("(",VLOOKUP(A187,子どもマスタ!$A$1:$F$301,5,FALSE))+1,"")),"yyyy/mm/dd"),"")</f>
        <v/>
      </c>
      <c r="D187" s="35"/>
      <c r="E187" s="36"/>
      <c r="F187" s="34" t="str">
        <f>IF(A187="","",VALUE(貼り付け用!$B$2&amp;"1日")+MOD(ROW(A186)-1,DAY(EOMONTH(貼り付け用!$B$2&amp;"1日",0))))</f>
        <v/>
      </c>
      <c r="G187" s="34"/>
      <c r="H187" s="44" t="str">
        <f ca="1">IF(A187&lt;&gt;"",OFFSET('まとめ（登園）'!$B$1,MATCH(CSVフォーム!A187,'まとめ（登園）'!$B:$B,0)-1,MATCH(DAY(F187),'まとめ（登園）'!$2:$2,0)-2),"")</f>
        <v/>
      </c>
      <c r="I187" s="44" t="str">
        <f ca="1">IF(A187&lt;&gt;"",OFFSET('まとめ（降園）'!$B$1,MATCH(CSVフォーム!A187,'まとめ（降園）'!$B:$B,0)-1,MATCH(DAY(F187),'まとめ（降園）'!$2:$2,0)-2),"")</f>
        <v/>
      </c>
    </row>
    <row r="188" spans="1:9" ht="17.399999999999999" customHeight="1" x14ac:dyDescent="0.5">
      <c r="A188" s="33" t="str">
        <f t="array" ref="A188">IFERROR(INDEX('まとめ（登園）'!$B$3:$B$500,INT((ROW(A187)-1)/DAY(EOMONTH(貼り付け用!$B$2&amp;"1日",0)))+1)&amp;"","")</f>
        <v/>
      </c>
      <c r="B188" s="33" t="str">
        <f>IF(A188&lt;&gt;"",VLOOKUP(A188,子どもマスタ!$A$1:$F$301,2,FALSE),"")</f>
        <v/>
      </c>
      <c r="C188" s="34" t="str">
        <f>IF(A188&lt;&gt;"",
TEXT(VALUE(REPLACE(VLOOKUP(A188,子どもマスタ!$A$1:$F$301,5,FALSE),
FIND("(",VLOOKUP(A188,子どもマスタ!$A$1:$F$301,5,FALSE)),
FIND(")",VLOOKUP(A188,子どもマスタ!$A$1:$F$301,5,FALSE))
-FIND("(",VLOOKUP(A188,子どもマスタ!$A$1:$F$301,5,FALSE))+1,"")),"yyyy/mm/dd"),"")</f>
        <v/>
      </c>
      <c r="D188" s="35"/>
      <c r="E188" s="36"/>
      <c r="F188" s="34" t="str">
        <f>IF(A188="","",VALUE(貼り付け用!$B$2&amp;"1日")+MOD(ROW(A187)-1,DAY(EOMONTH(貼り付け用!$B$2&amp;"1日",0))))</f>
        <v/>
      </c>
      <c r="G188" s="34"/>
      <c r="H188" s="44" t="str">
        <f ca="1">IF(A188&lt;&gt;"",OFFSET('まとめ（登園）'!$B$1,MATCH(CSVフォーム!A188,'まとめ（登園）'!$B:$B,0)-1,MATCH(DAY(F188),'まとめ（登園）'!$2:$2,0)-2),"")</f>
        <v/>
      </c>
      <c r="I188" s="44" t="str">
        <f ca="1">IF(A188&lt;&gt;"",OFFSET('まとめ（降園）'!$B$1,MATCH(CSVフォーム!A188,'まとめ（降園）'!$B:$B,0)-1,MATCH(DAY(F188),'まとめ（降園）'!$2:$2,0)-2),"")</f>
        <v/>
      </c>
    </row>
    <row r="189" spans="1:9" ht="17.399999999999999" customHeight="1" x14ac:dyDescent="0.5">
      <c r="A189" s="33" t="str">
        <f t="array" ref="A189">IFERROR(INDEX('まとめ（登園）'!$B$3:$B$500,INT((ROW(A188)-1)/DAY(EOMONTH(貼り付け用!$B$2&amp;"1日",0)))+1)&amp;"","")</f>
        <v/>
      </c>
      <c r="B189" s="33" t="str">
        <f>IF(A189&lt;&gt;"",VLOOKUP(A189,子どもマスタ!$A$1:$F$301,2,FALSE),"")</f>
        <v/>
      </c>
      <c r="C189" s="34" t="str">
        <f>IF(A189&lt;&gt;"",
TEXT(VALUE(REPLACE(VLOOKUP(A189,子どもマスタ!$A$1:$F$301,5,FALSE),
FIND("(",VLOOKUP(A189,子どもマスタ!$A$1:$F$301,5,FALSE)),
FIND(")",VLOOKUP(A189,子どもマスタ!$A$1:$F$301,5,FALSE))
-FIND("(",VLOOKUP(A189,子どもマスタ!$A$1:$F$301,5,FALSE))+1,"")),"yyyy/mm/dd"),"")</f>
        <v/>
      </c>
      <c r="D189" s="35"/>
      <c r="E189" s="36"/>
      <c r="F189" s="34" t="str">
        <f>IF(A189="","",VALUE(貼り付け用!$B$2&amp;"1日")+MOD(ROW(A188)-1,DAY(EOMONTH(貼り付け用!$B$2&amp;"1日",0))))</f>
        <v/>
      </c>
      <c r="G189" s="34"/>
      <c r="H189" s="44" t="str">
        <f ca="1">IF(A189&lt;&gt;"",OFFSET('まとめ（登園）'!$B$1,MATCH(CSVフォーム!A189,'まとめ（登園）'!$B:$B,0)-1,MATCH(DAY(F189),'まとめ（登園）'!$2:$2,0)-2),"")</f>
        <v/>
      </c>
      <c r="I189" s="44" t="str">
        <f ca="1">IF(A189&lt;&gt;"",OFFSET('まとめ（降園）'!$B$1,MATCH(CSVフォーム!A189,'まとめ（降園）'!$B:$B,0)-1,MATCH(DAY(F189),'まとめ（降園）'!$2:$2,0)-2),"")</f>
        <v/>
      </c>
    </row>
    <row r="190" spans="1:9" ht="17.399999999999999" customHeight="1" x14ac:dyDescent="0.5">
      <c r="A190" s="33" t="str">
        <f t="array" ref="A190">IFERROR(INDEX('まとめ（登園）'!$B$3:$B$500,INT((ROW(A189)-1)/DAY(EOMONTH(貼り付け用!$B$2&amp;"1日",0)))+1)&amp;"","")</f>
        <v/>
      </c>
      <c r="B190" s="33" t="str">
        <f>IF(A190&lt;&gt;"",VLOOKUP(A190,子どもマスタ!$A$1:$F$301,2,FALSE),"")</f>
        <v/>
      </c>
      <c r="C190" s="34" t="str">
        <f>IF(A190&lt;&gt;"",
TEXT(VALUE(REPLACE(VLOOKUP(A190,子どもマスタ!$A$1:$F$301,5,FALSE),
FIND("(",VLOOKUP(A190,子どもマスタ!$A$1:$F$301,5,FALSE)),
FIND(")",VLOOKUP(A190,子どもマスタ!$A$1:$F$301,5,FALSE))
-FIND("(",VLOOKUP(A190,子どもマスタ!$A$1:$F$301,5,FALSE))+1,"")),"yyyy/mm/dd"),"")</f>
        <v/>
      </c>
      <c r="D190" s="35"/>
      <c r="E190" s="36"/>
      <c r="F190" s="34" t="str">
        <f>IF(A190="","",VALUE(貼り付け用!$B$2&amp;"1日")+MOD(ROW(A189)-1,DAY(EOMONTH(貼り付け用!$B$2&amp;"1日",0))))</f>
        <v/>
      </c>
      <c r="G190" s="34"/>
      <c r="H190" s="44" t="str">
        <f ca="1">IF(A190&lt;&gt;"",OFFSET('まとめ（登園）'!$B$1,MATCH(CSVフォーム!A190,'まとめ（登園）'!$B:$B,0)-1,MATCH(DAY(F190),'まとめ（登園）'!$2:$2,0)-2),"")</f>
        <v/>
      </c>
      <c r="I190" s="44" t="str">
        <f ca="1">IF(A190&lt;&gt;"",OFFSET('まとめ（降園）'!$B$1,MATCH(CSVフォーム!A190,'まとめ（降園）'!$B:$B,0)-1,MATCH(DAY(F190),'まとめ（降園）'!$2:$2,0)-2),"")</f>
        <v/>
      </c>
    </row>
    <row r="191" spans="1:9" ht="17.399999999999999" customHeight="1" x14ac:dyDescent="0.5">
      <c r="A191" s="33" t="str">
        <f t="array" ref="A191">IFERROR(INDEX('まとめ（登園）'!$B$3:$B$500,INT((ROW(A190)-1)/DAY(EOMONTH(貼り付け用!$B$2&amp;"1日",0)))+1)&amp;"","")</f>
        <v/>
      </c>
      <c r="B191" s="33" t="str">
        <f>IF(A191&lt;&gt;"",VLOOKUP(A191,子どもマスタ!$A$1:$F$301,2,FALSE),"")</f>
        <v/>
      </c>
      <c r="C191" s="34" t="str">
        <f>IF(A191&lt;&gt;"",
TEXT(VALUE(REPLACE(VLOOKUP(A191,子どもマスタ!$A$1:$F$301,5,FALSE),
FIND("(",VLOOKUP(A191,子どもマスタ!$A$1:$F$301,5,FALSE)),
FIND(")",VLOOKUP(A191,子どもマスタ!$A$1:$F$301,5,FALSE))
-FIND("(",VLOOKUP(A191,子どもマスタ!$A$1:$F$301,5,FALSE))+1,"")),"yyyy/mm/dd"),"")</f>
        <v/>
      </c>
      <c r="D191" s="35"/>
      <c r="E191" s="36"/>
      <c r="F191" s="34" t="str">
        <f>IF(A191="","",VALUE(貼り付け用!$B$2&amp;"1日")+MOD(ROW(A190)-1,DAY(EOMONTH(貼り付け用!$B$2&amp;"1日",0))))</f>
        <v/>
      </c>
      <c r="G191" s="34"/>
      <c r="H191" s="44" t="str">
        <f ca="1">IF(A191&lt;&gt;"",OFFSET('まとめ（登園）'!$B$1,MATCH(CSVフォーム!A191,'まとめ（登園）'!$B:$B,0)-1,MATCH(DAY(F191),'まとめ（登園）'!$2:$2,0)-2),"")</f>
        <v/>
      </c>
      <c r="I191" s="44" t="str">
        <f ca="1">IF(A191&lt;&gt;"",OFFSET('まとめ（降園）'!$B$1,MATCH(CSVフォーム!A191,'まとめ（降園）'!$B:$B,0)-1,MATCH(DAY(F191),'まとめ（降園）'!$2:$2,0)-2),"")</f>
        <v/>
      </c>
    </row>
    <row r="192" spans="1:9" ht="17.399999999999999" customHeight="1" x14ac:dyDescent="0.5">
      <c r="A192" s="33" t="str">
        <f t="array" ref="A192">IFERROR(INDEX('まとめ（登園）'!$B$3:$B$500,INT((ROW(A191)-1)/DAY(EOMONTH(貼り付け用!$B$2&amp;"1日",0)))+1)&amp;"","")</f>
        <v/>
      </c>
      <c r="B192" s="33" t="str">
        <f>IF(A192&lt;&gt;"",VLOOKUP(A192,子どもマスタ!$A$1:$F$301,2,FALSE),"")</f>
        <v/>
      </c>
      <c r="C192" s="34" t="str">
        <f>IF(A192&lt;&gt;"",
TEXT(VALUE(REPLACE(VLOOKUP(A192,子どもマスタ!$A$1:$F$301,5,FALSE),
FIND("(",VLOOKUP(A192,子どもマスタ!$A$1:$F$301,5,FALSE)),
FIND(")",VLOOKUP(A192,子どもマスタ!$A$1:$F$301,5,FALSE))
-FIND("(",VLOOKUP(A192,子どもマスタ!$A$1:$F$301,5,FALSE))+1,"")),"yyyy/mm/dd"),"")</f>
        <v/>
      </c>
      <c r="D192" s="35"/>
      <c r="E192" s="36"/>
      <c r="F192" s="34" t="str">
        <f>IF(A192="","",VALUE(貼り付け用!$B$2&amp;"1日")+MOD(ROW(A191)-1,DAY(EOMONTH(貼り付け用!$B$2&amp;"1日",0))))</f>
        <v/>
      </c>
      <c r="G192" s="34"/>
      <c r="H192" s="44" t="str">
        <f ca="1">IF(A192&lt;&gt;"",OFFSET('まとめ（登園）'!$B$1,MATCH(CSVフォーム!A192,'まとめ（登園）'!$B:$B,0)-1,MATCH(DAY(F192),'まとめ（登園）'!$2:$2,0)-2),"")</f>
        <v/>
      </c>
      <c r="I192" s="44" t="str">
        <f ca="1">IF(A192&lt;&gt;"",OFFSET('まとめ（降園）'!$B$1,MATCH(CSVフォーム!A192,'まとめ（降園）'!$B:$B,0)-1,MATCH(DAY(F192),'まとめ（降園）'!$2:$2,0)-2),"")</f>
        <v/>
      </c>
    </row>
    <row r="193" spans="1:9" ht="17.399999999999999" customHeight="1" x14ac:dyDescent="0.5">
      <c r="A193" s="33" t="str">
        <f t="array" ref="A193">IFERROR(INDEX('まとめ（登園）'!$B$3:$B$500,INT((ROW(A192)-1)/DAY(EOMONTH(貼り付け用!$B$2&amp;"1日",0)))+1)&amp;"","")</f>
        <v/>
      </c>
      <c r="B193" s="33" t="str">
        <f>IF(A193&lt;&gt;"",VLOOKUP(A193,子どもマスタ!$A$1:$F$301,2,FALSE),"")</f>
        <v/>
      </c>
      <c r="C193" s="34" t="str">
        <f>IF(A193&lt;&gt;"",
TEXT(VALUE(REPLACE(VLOOKUP(A193,子どもマスタ!$A$1:$F$301,5,FALSE),
FIND("(",VLOOKUP(A193,子どもマスタ!$A$1:$F$301,5,FALSE)),
FIND(")",VLOOKUP(A193,子どもマスタ!$A$1:$F$301,5,FALSE))
-FIND("(",VLOOKUP(A193,子どもマスタ!$A$1:$F$301,5,FALSE))+1,"")),"yyyy/mm/dd"),"")</f>
        <v/>
      </c>
      <c r="D193" s="35"/>
      <c r="E193" s="36"/>
      <c r="F193" s="34" t="str">
        <f>IF(A193="","",VALUE(貼り付け用!$B$2&amp;"1日")+MOD(ROW(A192)-1,DAY(EOMONTH(貼り付け用!$B$2&amp;"1日",0))))</f>
        <v/>
      </c>
      <c r="G193" s="34"/>
      <c r="H193" s="44" t="str">
        <f ca="1">IF(A193&lt;&gt;"",OFFSET('まとめ（登園）'!$B$1,MATCH(CSVフォーム!A193,'まとめ（登園）'!$B:$B,0)-1,MATCH(DAY(F193),'まとめ（登園）'!$2:$2,0)-2),"")</f>
        <v/>
      </c>
      <c r="I193" s="44" t="str">
        <f ca="1">IF(A193&lt;&gt;"",OFFSET('まとめ（降園）'!$B$1,MATCH(CSVフォーム!A193,'まとめ（降園）'!$B:$B,0)-1,MATCH(DAY(F193),'まとめ（降園）'!$2:$2,0)-2),"")</f>
        <v/>
      </c>
    </row>
    <row r="194" spans="1:9" ht="17.399999999999999" customHeight="1" x14ac:dyDescent="0.5">
      <c r="A194" s="33" t="str">
        <f t="array" ref="A194">IFERROR(INDEX('まとめ（登園）'!$B$3:$B$500,INT((ROW(A193)-1)/DAY(EOMONTH(貼り付け用!$B$2&amp;"1日",0)))+1)&amp;"","")</f>
        <v/>
      </c>
      <c r="B194" s="33" t="str">
        <f>IF(A194&lt;&gt;"",VLOOKUP(A194,子どもマスタ!$A$1:$F$301,2,FALSE),"")</f>
        <v/>
      </c>
      <c r="C194" s="34" t="str">
        <f>IF(A194&lt;&gt;"",
TEXT(VALUE(REPLACE(VLOOKUP(A194,子どもマスタ!$A$1:$F$301,5,FALSE),
FIND("(",VLOOKUP(A194,子どもマスタ!$A$1:$F$301,5,FALSE)),
FIND(")",VLOOKUP(A194,子どもマスタ!$A$1:$F$301,5,FALSE))
-FIND("(",VLOOKUP(A194,子どもマスタ!$A$1:$F$301,5,FALSE))+1,"")),"yyyy/mm/dd"),"")</f>
        <v/>
      </c>
      <c r="D194" s="35"/>
      <c r="E194" s="36"/>
      <c r="F194" s="34" t="str">
        <f>IF(A194="","",VALUE(貼り付け用!$B$2&amp;"1日")+MOD(ROW(A193)-1,DAY(EOMONTH(貼り付け用!$B$2&amp;"1日",0))))</f>
        <v/>
      </c>
      <c r="G194" s="34"/>
      <c r="H194" s="44" t="str">
        <f ca="1">IF(A194&lt;&gt;"",OFFSET('まとめ（登園）'!$B$1,MATCH(CSVフォーム!A194,'まとめ（登園）'!$B:$B,0)-1,MATCH(DAY(F194),'まとめ（登園）'!$2:$2,0)-2),"")</f>
        <v/>
      </c>
      <c r="I194" s="44" t="str">
        <f ca="1">IF(A194&lt;&gt;"",OFFSET('まとめ（降園）'!$B$1,MATCH(CSVフォーム!A194,'まとめ（降園）'!$B:$B,0)-1,MATCH(DAY(F194),'まとめ（降園）'!$2:$2,0)-2),"")</f>
        <v/>
      </c>
    </row>
    <row r="195" spans="1:9" ht="17.399999999999999" customHeight="1" x14ac:dyDescent="0.5">
      <c r="A195" s="33" t="str">
        <f t="array" ref="A195">IFERROR(INDEX('まとめ（登園）'!$B$3:$B$500,INT((ROW(A194)-1)/DAY(EOMONTH(貼り付け用!$B$2&amp;"1日",0)))+1)&amp;"","")</f>
        <v/>
      </c>
      <c r="B195" s="33" t="str">
        <f>IF(A195&lt;&gt;"",VLOOKUP(A195,子どもマスタ!$A$1:$F$301,2,FALSE),"")</f>
        <v/>
      </c>
      <c r="C195" s="34" t="str">
        <f>IF(A195&lt;&gt;"",
TEXT(VALUE(REPLACE(VLOOKUP(A195,子どもマスタ!$A$1:$F$301,5,FALSE),
FIND("(",VLOOKUP(A195,子どもマスタ!$A$1:$F$301,5,FALSE)),
FIND(")",VLOOKUP(A195,子どもマスタ!$A$1:$F$301,5,FALSE))
-FIND("(",VLOOKUP(A195,子どもマスタ!$A$1:$F$301,5,FALSE))+1,"")),"yyyy/mm/dd"),"")</f>
        <v/>
      </c>
      <c r="D195" s="35"/>
      <c r="E195" s="36"/>
      <c r="F195" s="34" t="str">
        <f>IF(A195="","",VALUE(貼り付け用!$B$2&amp;"1日")+MOD(ROW(A194)-1,DAY(EOMONTH(貼り付け用!$B$2&amp;"1日",0))))</f>
        <v/>
      </c>
      <c r="G195" s="34"/>
      <c r="H195" s="44" t="str">
        <f ca="1">IF(A195&lt;&gt;"",OFFSET('まとめ（登園）'!$B$1,MATCH(CSVフォーム!A195,'まとめ（登園）'!$B:$B,0)-1,MATCH(DAY(F195),'まとめ（登園）'!$2:$2,0)-2),"")</f>
        <v/>
      </c>
      <c r="I195" s="44" t="str">
        <f ca="1">IF(A195&lt;&gt;"",OFFSET('まとめ（降園）'!$B$1,MATCH(CSVフォーム!A195,'まとめ（降園）'!$B:$B,0)-1,MATCH(DAY(F195),'まとめ（降園）'!$2:$2,0)-2),"")</f>
        <v/>
      </c>
    </row>
    <row r="196" spans="1:9" ht="17.399999999999999" customHeight="1" x14ac:dyDescent="0.5">
      <c r="A196" s="33" t="str">
        <f t="array" ref="A196">IFERROR(INDEX('まとめ（登園）'!$B$3:$B$500,INT((ROW(A195)-1)/DAY(EOMONTH(貼り付け用!$B$2&amp;"1日",0)))+1)&amp;"","")</f>
        <v/>
      </c>
      <c r="B196" s="33" t="str">
        <f>IF(A196&lt;&gt;"",VLOOKUP(A196,子どもマスタ!$A$1:$F$301,2,FALSE),"")</f>
        <v/>
      </c>
      <c r="C196" s="34" t="str">
        <f>IF(A196&lt;&gt;"",
TEXT(VALUE(REPLACE(VLOOKUP(A196,子どもマスタ!$A$1:$F$301,5,FALSE),
FIND("(",VLOOKUP(A196,子どもマスタ!$A$1:$F$301,5,FALSE)),
FIND(")",VLOOKUP(A196,子どもマスタ!$A$1:$F$301,5,FALSE))
-FIND("(",VLOOKUP(A196,子どもマスタ!$A$1:$F$301,5,FALSE))+1,"")),"yyyy/mm/dd"),"")</f>
        <v/>
      </c>
      <c r="D196" s="35"/>
      <c r="E196" s="36"/>
      <c r="F196" s="34" t="str">
        <f>IF(A196="","",VALUE(貼り付け用!$B$2&amp;"1日")+MOD(ROW(A195)-1,DAY(EOMONTH(貼り付け用!$B$2&amp;"1日",0))))</f>
        <v/>
      </c>
      <c r="G196" s="34"/>
      <c r="H196" s="44" t="str">
        <f ca="1">IF(A196&lt;&gt;"",OFFSET('まとめ（登園）'!$B$1,MATCH(CSVフォーム!A196,'まとめ（登園）'!$B:$B,0)-1,MATCH(DAY(F196),'まとめ（登園）'!$2:$2,0)-2),"")</f>
        <v/>
      </c>
      <c r="I196" s="44" t="str">
        <f ca="1">IF(A196&lt;&gt;"",OFFSET('まとめ（降園）'!$B$1,MATCH(CSVフォーム!A196,'まとめ（降園）'!$B:$B,0)-1,MATCH(DAY(F196),'まとめ（降園）'!$2:$2,0)-2),"")</f>
        <v/>
      </c>
    </row>
    <row r="197" spans="1:9" ht="17.399999999999999" customHeight="1" x14ac:dyDescent="0.5">
      <c r="A197" s="33" t="str">
        <f t="array" ref="A197">IFERROR(INDEX('まとめ（登園）'!$B$3:$B$500,INT((ROW(A196)-1)/DAY(EOMONTH(貼り付け用!$B$2&amp;"1日",0)))+1)&amp;"","")</f>
        <v/>
      </c>
      <c r="B197" s="33" t="str">
        <f>IF(A197&lt;&gt;"",VLOOKUP(A197,子どもマスタ!$A$1:$F$301,2,FALSE),"")</f>
        <v/>
      </c>
      <c r="C197" s="34" t="str">
        <f>IF(A197&lt;&gt;"",
TEXT(VALUE(REPLACE(VLOOKUP(A197,子どもマスタ!$A$1:$F$301,5,FALSE),
FIND("(",VLOOKUP(A197,子どもマスタ!$A$1:$F$301,5,FALSE)),
FIND(")",VLOOKUP(A197,子どもマスタ!$A$1:$F$301,5,FALSE))
-FIND("(",VLOOKUP(A197,子どもマスタ!$A$1:$F$301,5,FALSE))+1,"")),"yyyy/mm/dd"),"")</f>
        <v/>
      </c>
      <c r="D197" s="35"/>
      <c r="E197" s="36"/>
      <c r="F197" s="34" t="str">
        <f>IF(A197="","",VALUE(貼り付け用!$B$2&amp;"1日")+MOD(ROW(A196)-1,DAY(EOMONTH(貼り付け用!$B$2&amp;"1日",0))))</f>
        <v/>
      </c>
      <c r="G197" s="34"/>
      <c r="H197" s="44" t="str">
        <f ca="1">IF(A197&lt;&gt;"",OFFSET('まとめ（登園）'!$B$1,MATCH(CSVフォーム!A197,'まとめ（登園）'!$B:$B,0)-1,MATCH(DAY(F197),'まとめ（登園）'!$2:$2,0)-2),"")</f>
        <v/>
      </c>
      <c r="I197" s="44" t="str">
        <f ca="1">IF(A197&lt;&gt;"",OFFSET('まとめ（降園）'!$B$1,MATCH(CSVフォーム!A197,'まとめ（降園）'!$B:$B,0)-1,MATCH(DAY(F197),'まとめ（降園）'!$2:$2,0)-2),"")</f>
        <v/>
      </c>
    </row>
    <row r="198" spans="1:9" ht="17.399999999999999" customHeight="1" x14ac:dyDescent="0.5">
      <c r="A198" s="33" t="str">
        <f t="array" ref="A198">IFERROR(INDEX('まとめ（登園）'!$B$3:$B$500,INT((ROW(A197)-1)/DAY(EOMONTH(貼り付け用!$B$2&amp;"1日",0)))+1)&amp;"","")</f>
        <v/>
      </c>
      <c r="B198" s="33" t="str">
        <f>IF(A198&lt;&gt;"",VLOOKUP(A198,子どもマスタ!$A$1:$F$301,2,FALSE),"")</f>
        <v/>
      </c>
      <c r="C198" s="34" t="str">
        <f>IF(A198&lt;&gt;"",
TEXT(VALUE(REPLACE(VLOOKUP(A198,子どもマスタ!$A$1:$F$301,5,FALSE),
FIND("(",VLOOKUP(A198,子どもマスタ!$A$1:$F$301,5,FALSE)),
FIND(")",VLOOKUP(A198,子どもマスタ!$A$1:$F$301,5,FALSE))
-FIND("(",VLOOKUP(A198,子どもマスタ!$A$1:$F$301,5,FALSE))+1,"")),"yyyy/mm/dd"),"")</f>
        <v/>
      </c>
      <c r="D198" s="35"/>
      <c r="E198" s="36"/>
      <c r="F198" s="34" t="str">
        <f>IF(A198="","",VALUE(貼り付け用!$B$2&amp;"1日")+MOD(ROW(A197)-1,DAY(EOMONTH(貼り付け用!$B$2&amp;"1日",0))))</f>
        <v/>
      </c>
      <c r="G198" s="34"/>
      <c r="H198" s="44" t="str">
        <f ca="1">IF(A198&lt;&gt;"",OFFSET('まとめ（登園）'!$B$1,MATCH(CSVフォーム!A198,'まとめ（登園）'!$B:$B,0)-1,MATCH(DAY(F198),'まとめ（登園）'!$2:$2,0)-2),"")</f>
        <v/>
      </c>
      <c r="I198" s="44" t="str">
        <f ca="1">IF(A198&lt;&gt;"",OFFSET('まとめ（降園）'!$B$1,MATCH(CSVフォーム!A198,'まとめ（降園）'!$B:$B,0)-1,MATCH(DAY(F198),'まとめ（降園）'!$2:$2,0)-2),"")</f>
        <v/>
      </c>
    </row>
    <row r="199" spans="1:9" ht="17.399999999999999" customHeight="1" x14ac:dyDescent="0.5">
      <c r="A199" s="33" t="str">
        <f t="array" ref="A199">IFERROR(INDEX('まとめ（登園）'!$B$3:$B$500,INT((ROW(A198)-1)/DAY(EOMONTH(貼り付け用!$B$2&amp;"1日",0)))+1)&amp;"","")</f>
        <v/>
      </c>
      <c r="B199" s="33" t="str">
        <f>IF(A199&lt;&gt;"",VLOOKUP(A199,子どもマスタ!$A$1:$F$301,2,FALSE),"")</f>
        <v/>
      </c>
      <c r="C199" s="34" t="str">
        <f>IF(A199&lt;&gt;"",
TEXT(VALUE(REPLACE(VLOOKUP(A199,子どもマスタ!$A$1:$F$301,5,FALSE),
FIND("(",VLOOKUP(A199,子どもマスタ!$A$1:$F$301,5,FALSE)),
FIND(")",VLOOKUP(A199,子どもマスタ!$A$1:$F$301,5,FALSE))
-FIND("(",VLOOKUP(A199,子どもマスタ!$A$1:$F$301,5,FALSE))+1,"")),"yyyy/mm/dd"),"")</f>
        <v/>
      </c>
      <c r="D199" s="35"/>
      <c r="E199" s="36"/>
      <c r="F199" s="34" t="str">
        <f>IF(A199="","",VALUE(貼り付け用!$B$2&amp;"1日")+MOD(ROW(A198)-1,DAY(EOMONTH(貼り付け用!$B$2&amp;"1日",0))))</f>
        <v/>
      </c>
      <c r="G199" s="34"/>
      <c r="H199" s="44" t="str">
        <f ca="1">IF(A199&lt;&gt;"",OFFSET('まとめ（登園）'!$B$1,MATCH(CSVフォーム!A199,'まとめ（登園）'!$B:$B,0)-1,MATCH(DAY(F199),'まとめ（登園）'!$2:$2,0)-2),"")</f>
        <v/>
      </c>
      <c r="I199" s="44" t="str">
        <f ca="1">IF(A199&lt;&gt;"",OFFSET('まとめ（降園）'!$B$1,MATCH(CSVフォーム!A199,'まとめ（降園）'!$B:$B,0)-1,MATCH(DAY(F199),'まとめ（降園）'!$2:$2,0)-2),"")</f>
        <v/>
      </c>
    </row>
    <row r="200" spans="1:9" ht="17.399999999999999" customHeight="1" x14ac:dyDescent="0.5">
      <c r="A200" s="33" t="str">
        <f t="array" ref="A200">IFERROR(INDEX('まとめ（登園）'!$B$3:$B$500,INT((ROW(A199)-1)/DAY(EOMONTH(貼り付け用!$B$2&amp;"1日",0)))+1)&amp;"","")</f>
        <v/>
      </c>
      <c r="B200" s="33" t="str">
        <f>IF(A200&lt;&gt;"",VLOOKUP(A200,子どもマスタ!$A$1:$F$301,2,FALSE),"")</f>
        <v/>
      </c>
      <c r="C200" s="34" t="str">
        <f>IF(A200&lt;&gt;"",
TEXT(VALUE(REPLACE(VLOOKUP(A200,子どもマスタ!$A$1:$F$301,5,FALSE),
FIND("(",VLOOKUP(A200,子どもマスタ!$A$1:$F$301,5,FALSE)),
FIND(")",VLOOKUP(A200,子どもマスタ!$A$1:$F$301,5,FALSE))
-FIND("(",VLOOKUP(A200,子どもマスタ!$A$1:$F$301,5,FALSE))+1,"")),"yyyy/mm/dd"),"")</f>
        <v/>
      </c>
      <c r="D200" s="35"/>
      <c r="E200" s="36"/>
      <c r="F200" s="34" t="str">
        <f>IF(A200="","",VALUE(貼り付け用!$B$2&amp;"1日")+MOD(ROW(A199)-1,DAY(EOMONTH(貼り付け用!$B$2&amp;"1日",0))))</f>
        <v/>
      </c>
      <c r="G200" s="34"/>
      <c r="H200" s="44" t="str">
        <f ca="1">IF(A200&lt;&gt;"",OFFSET('まとめ（登園）'!$B$1,MATCH(CSVフォーム!A200,'まとめ（登園）'!$B:$B,0)-1,MATCH(DAY(F200),'まとめ（登園）'!$2:$2,0)-2),"")</f>
        <v/>
      </c>
      <c r="I200" s="44" t="str">
        <f ca="1">IF(A200&lt;&gt;"",OFFSET('まとめ（降園）'!$B$1,MATCH(CSVフォーム!A200,'まとめ（降園）'!$B:$B,0)-1,MATCH(DAY(F200),'まとめ（降園）'!$2:$2,0)-2),"")</f>
        <v/>
      </c>
    </row>
    <row r="201" spans="1:9" ht="17.399999999999999" customHeight="1" x14ac:dyDescent="0.5">
      <c r="A201" s="33" t="str">
        <f t="array" ref="A201">IFERROR(INDEX('まとめ（登園）'!$B$3:$B$500,INT((ROW(A200)-1)/DAY(EOMONTH(貼り付け用!$B$2&amp;"1日",0)))+1)&amp;"","")</f>
        <v/>
      </c>
      <c r="B201" s="33" t="str">
        <f>IF(A201&lt;&gt;"",VLOOKUP(A201,子どもマスタ!$A$1:$F$301,2,FALSE),"")</f>
        <v/>
      </c>
      <c r="C201" s="34" t="str">
        <f>IF(A201&lt;&gt;"",
TEXT(VALUE(REPLACE(VLOOKUP(A201,子どもマスタ!$A$1:$F$301,5,FALSE),
FIND("(",VLOOKUP(A201,子どもマスタ!$A$1:$F$301,5,FALSE)),
FIND(")",VLOOKUP(A201,子どもマスタ!$A$1:$F$301,5,FALSE))
-FIND("(",VLOOKUP(A201,子どもマスタ!$A$1:$F$301,5,FALSE))+1,"")),"yyyy/mm/dd"),"")</f>
        <v/>
      </c>
      <c r="D201" s="35"/>
      <c r="E201" s="36"/>
      <c r="F201" s="34" t="str">
        <f>IF(A201="","",VALUE(貼り付け用!$B$2&amp;"1日")+MOD(ROW(A200)-1,DAY(EOMONTH(貼り付け用!$B$2&amp;"1日",0))))</f>
        <v/>
      </c>
      <c r="G201" s="34"/>
      <c r="H201" s="44" t="str">
        <f ca="1">IF(A201&lt;&gt;"",OFFSET('まとめ（登園）'!$B$1,MATCH(CSVフォーム!A201,'まとめ（登園）'!$B:$B,0)-1,MATCH(DAY(F201),'まとめ（登園）'!$2:$2,0)-2),"")</f>
        <v/>
      </c>
      <c r="I201" s="44" t="str">
        <f ca="1">IF(A201&lt;&gt;"",OFFSET('まとめ（降園）'!$B$1,MATCH(CSVフォーム!A201,'まとめ（降園）'!$B:$B,0)-1,MATCH(DAY(F201),'まとめ（降園）'!$2:$2,0)-2),"")</f>
        <v/>
      </c>
    </row>
    <row r="202" spans="1:9" ht="17.399999999999999" customHeight="1" x14ac:dyDescent="0.5">
      <c r="A202" s="33" t="str">
        <f t="array" ref="A202">IFERROR(INDEX('まとめ（登園）'!$B$3:$B$500,INT((ROW(A201)-1)/DAY(EOMONTH(貼り付け用!$B$2&amp;"1日",0)))+1)&amp;"","")</f>
        <v/>
      </c>
      <c r="B202" s="33" t="str">
        <f>IF(A202&lt;&gt;"",VLOOKUP(A202,子どもマスタ!$A$1:$F$301,2,FALSE),"")</f>
        <v/>
      </c>
      <c r="C202" s="34" t="str">
        <f>IF(A202&lt;&gt;"",
TEXT(VALUE(REPLACE(VLOOKUP(A202,子どもマスタ!$A$1:$F$301,5,FALSE),
FIND("(",VLOOKUP(A202,子どもマスタ!$A$1:$F$301,5,FALSE)),
FIND(")",VLOOKUP(A202,子どもマスタ!$A$1:$F$301,5,FALSE))
-FIND("(",VLOOKUP(A202,子どもマスタ!$A$1:$F$301,5,FALSE))+1,"")),"yyyy/mm/dd"),"")</f>
        <v/>
      </c>
      <c r="D202" s="35"/>
      <c r="E202" s="36"/>
      <c r="F202" s="34" t="str">
        <f>IF(A202="","",VALUE(貼り付け用!$B$2&amp;"1日")+MOD(ROW(A201)-1,DAY(EOMONTH(貼り付け用!$B$2&amp;"1日",0))))</f>
        <v/>
      </c>
      <c r="G202" s="34"/>
      <c r="H202" s="44" t="str">
        <f ca="1">IF(A202&lt;&gt;"",OFFSET('まとめ（登園）'!$B$1,MATCH(CSVフォーム!A202,'まとめ（登園）'!$B:$B,0)-1,MATCH(DAY(F202),'まとめ（登園）'!$2:$2,0)-2),"")</f>
        <v/>
      </c>
      <c r="I202" s="44" t="str">
        <f ca="1">IF(A202&lt;&gt;"",OFFSET('まとめ（降園）'!$B$1,MATCH(CSVフォーム!A202,'まとめ（降園）'!$B:$B,0)-1,MATCH(DAY(F202),'まとめ（降園）'!$2:$2,0)-2),"")</f>
        <v/>
      </c>
    </row>
    <row r="203" spans="1:9" ht="17.399999999999999" customHeight="1" x14ac:dyDescent="0.5">
      <c r="A203" s="33" t="str">
        <f t="array" ref="A203">IFERROR(INDEX('まとめ（登園）'!$B$3:$B$500,INT((ROW(A202)-1)/DAY(EOMONTH(貼り付け用!$B$2&amp;"1日",0)))+1)&amp;"","")</f>
        <v/>
      </c>
      <c r="B203" s="33" t="str">
        <f>IF(A203&lt;&gt;"",VLOOKUP(A203,子どもマスタ!$A$1:$F$301,2,FALSE),"")</f>
        <v/>
      </c>
      <c r="C203" s="34" t="str">
        <f>IF(A203&lt;&gt;"",
TEXT(VALUE(REPLACE(VLOOKUP(A203,子どもマスタ!$A$1:$F$301,5,FALSE),
FIND("(",VLOOKUP(A203,子どもマスタ!$A$1:$F$301,5,FALSE)),
FIND(")",VLOOKUP(A203,子どもマスタ!$A$1:$F$301,5,FALSE))
-FIND("(",VLOOKUP(A203,子どもマスタ!$A$1:$F$301,5,FALSE))+1,"")),"yyyy/mm/dd"),"")</f>
        <v/>
      </c>
      <c r="D203" s="35"/>
      <c r="E203" s="36"/>
      <c r="F203" s="34" t="str">
        <f>IF(A203="","",VALUE(貼り付け用!$B$2&amp;"1日")+MOD(ROW(A202)-1,DAY(EOMONTH(貼り付け用!$B$2&amp;"1日",0))))</f>
        <v/>
      </c>
      <c r="G203" s="34"/>
      <c r="H203" s="44" t="str">
        <f ca="1">IF(A203&lt;&gt;"",OFFSET('まとめ（登園）'!$B$1,MATCH(CSVフォーム!A203,'まとめ（登園）'!$B:$B,0)-1,MATCH(DAY(F203),'まとめ（登園）'!$2:$2,0)-2),"")</f>
        <v/>
      </c>
      <c r="I203" s="44" t="str">
        <f ca="1">IF(A203&lt;&gt;"",OFFSET('まとめ（降園）'!$B$1,MATCH(CSVフォーム!A203,'まとめ（降園）'!$B:$B,0)-1,MATCH(DAY(F203),'まとめ（降園）'!$2:$2,0)-2),"")</f>
        <v/>
      </c>
    </row>
    <row r="204" spans="1:9" ht="17.399999999999999" customHeight="1" x14ac:dyDescent="0.5">
      <c r="A204" s="33" t="str">
        <f t="array" ref="A204">IFERROR(INDEX('まとめ（登園）'!$B$3:$B$500,INT((ROW(A203)-1)/DAY(EOMONTH(貼り付け用!$B$2&amp;"1日",0)))+1)&amp;"","")</f>
        <v/>
      </c>
      <c r="B204" s="33" t="str">
        <f>IF(A204&lt;&gt;"",VLOOKUP(A204,子どもマスタ!$A$1:$F$301,2,FALSE),"")</f>
        <v/>
      </c>
      <c r="C204" s="34" t="str">
        <f>IF(A204&lt;&gt;"",
TEXT(VALUE(REPLACE(VLOOKUP(A204,子どもマスタ!$A$1:$F$301,5,FALSE),
FIND("(",VLOOKUP(A204,子どもマスタ!$A$1:$F$301,5,FALSE)),
FIND(")",VLOOKUP(A204,子どもマスタ!$A$1:$F$301,5,FALSE))
-FIND("(",VLOOKUP(A204,子どもマスタ!$A$1:$F$301,5,FALSE))+1,"")),"yyyy/mm/dd"),"")</f>
        <v/>
      </c>
      <c r="D204" s="35"/>
      <c r="E204" s="36"/>
      <c r="F204" s="34" t="str">
        <f>IF(A204="","",VALUE(貼り付け用!$B$2&amp;"1日")+MOD(ROW(A203)-1,DAY(EOMONTH(貼り付け用!$B$2&amp;"1日",0))))</f>
        <v/>
      </c>
      <c r="G204" s="34"/>
      <c r="H204" s="44" t="str">
        <f ca="1">IF(A204&lt;&gt;"",OFFSET('まとめ（登園）'!$B$1,MATCH(CSVフォーム!A204,'まとめ（登園）'!$B:$B,0)-1,MATCH(DAY(F204),'まとめ（登園）'!$2:$2,0)-2),"")</f>
        <v/>
      </c>
      <c r="I204" s="44" t="str">
        <f ca="1">IF(A204&lt;&gt;"",OFFSET('まとめ（降園）'!$B$1,MATCH(CSVフォーム!A204,'まとめ（降園）'!$B:$B,0)-1,MATCH(DAY(F204),'まとめ（降園）'!$2:$2,0)-2),"")</f>
        <v/>
      </c>
    </row>
    <row r="205" spans="1:9" ht="17.399999999999999" customHeight="1" x14ac:dyDescent="0.5">
      <c r="A205" s="33" t="str">
        <f t="array" ref="A205">IFERROR(INDEX('まとめ（登園）'!$B$3:$B$500,INT((ROW(A204)-1)/DAY(EOMONTH(貼り付け用!$B$2&amp;"1日",0)))+1)&amp;"","")</f>
        <v/>
      </c>
      <c r="B205" s="33" t="str">
        <f>IF(A205&lt;&gt;"",VLOOKUP(A205,子どもマスタ!$A$1:$F$301,2,FALSE),"")</f>
        <v/>
      </c>
      <c r="C205" s="34" t="str">
        <f>IF(A205&lt;&gt;"",
TEXT(VALUE(REPLACE(VLOOKUP(A205,子どもマスタ!$A$1:$F$301,5,FALSE),
FIND("(",VLOOKUP(A205,子どもマスタ!$A$1:$F$301,5,FALSE)),
FIND(")",VLOOKUP(A205,子どもマスタ!$A$1:$F$301,5,FALSE))
-FIND("(",VLOOKUP(A205,子どもマスタ!$A$1:$F$301,5,FALSE))+1,"")),"yyyy/mm/dd"),"")</f>
        <v/>
      </c>
      <c r="D205" s="35"/>
      <c r="E205" s="36"/>
      <c r="F205" s="34" t="str">
        <f>IF(A205="","",VALUE(貼り付け用!$B$2&amp;"1日")+MOD(ROW(A204)-1,DAY(EOMONTH(貼り付け用!$B$2&amp;"1日",0))))</f>
        <v/>
      </c>
      <c r="G205" s="34"/>
      <c r="H205" s="44" t="str">
        <f ca="1">IF(A205&lt;&gt;"",OFFSET('まとめ（登園）'!$B$1,MATCH(CSVフォーム!A205,'まとめ（登園）'!$B:$B,0)-1,MATCH(DAY(F205),'まとめ（登園）'!$2:$2,0)-2),"")</f>
        <v/>
      </c>
      <c r="I205" s="44" t="str">
        <f ca="1">IF(A205&lt;&gt;"",OFFSET('まとめ（降園）'!$B$1,MATCH(CSVフォーム!A205,'まとめ（降園）'!$B:$B,0)-1,MATCH(DAY(F205),'まとめ（降園）'!$2:$2,0)-2),"")</f>
        <v/>
      </c>
    </row>
    <row r="206" spans="1:9" ht="17.399999999999999" customHeight="1" x14ac:dyDescent="0.5">
      <c r="A206" s="33" t="str">
        <f t="array" ref="A206">IFERROR(INDEX('まとめ（登園）'!$B$3:$B$500,INT((ROW(A205)-1)/DAY(EOMONTH(貼り付け用!$B$2&amp;"1日",0)))+1)&amp;"","")</f>
        <v/>
      </c>
      <c r="B206" s="33" t="str">
        <f>IF(A206&lt;&gt;"",VLOOKUP(A206,子どもマスタ!$A$1:$F$301,2,FALSE),"")</f>
        <v/>
      </c>
      <c r="C206" s="34" t="str">
        <f>IF(A206&lt;&gt;"",
TEXT(VALUE(REPLACE(VLOOKUP(A206,子どもマスタ!$A$1:$F$301,5,FALSE),
FIND("(",VLOOKUP(A206,子どもマスタ!$A$1:$F$301,5,FALSE)),
FIND(")",VLOOKUP(A206,子どもマスタ!$A$1:$F$301,5,FALSE))
-FIND("(",VLOOKUP(A206,子どもマスタ!$A$1:$F$301,5,FALSE))+1,"")),"yyyy/mm/dd"),"")</f>
        <v/>
      </c>
      <c r="D206" s="35"/>
      <c r="E206" s="36"/>
      <c r="F206" s="34" t="str">
        <f>IF(A206="","",VALUE(貼り付け用!$B$2&amp;"1日")+MOD(ROW(A205)-1,DAY(EOMONTH(貼り付け用!$B$2&amp;"1日",0))))</f>
        <v/>
      </c>
      <c r="G206" s="34"/>
      <c r="H206" s="44" t="str">
        <f ca="1">IF(A206&lt;&gt;"",OFFSET('まとめ（登園）'!$B$1,MATCH(CSVフォーム!A206,'まとめ（登園）'!$B:$B,0)-1,MATCH(DAY(F206),'まとめ（登園）'!$2:$2,0)-2),"")</f>
        <v/>
      </c>
      <c r="I206" s="44" t="str">
        <f ca="1">IF(A206&lt;&gt;"",OFFSET('まとめ（降園）'!$B$1,MATCH(CSVフォーム!A206,'まとめ（降園）'!$B:$B,0)-1,MATCH(DAY(F206),'まとめ（降園）'!$2:$2,0)-2),"")</f>
        <v/>
      </c>
    </row>
    <row r="207" spans="1:9" ht="17.399999999999999" customHeight="1" x14ac:dyDescent="0.5">
      <c r="A207" s="33" t="str">
        <f t="array" ref="A207">IFERROR(INDEX('まとめ（登園）'!$B$3:$B$500,INT((ROW(A206)-1)/DAY(EOMONTH(貼り付け用!$B$2&amp;"1日",0)))+1)&amp;"","")</f>
        <v/>
      </c>
      <c r="B207" s="33" t="str">
        <f>IF(A207&lt;&gt;"",VLOOKUP(A207,子どもマスタ!$A$1:$F$301,2,FALSE),"")</f>
        <v/>
      </c>
      <c r="C207" s="34" t="str">
        <f>IF(A207&lt;&gt;"",
TEXT(VALUE(REPLACE(VLOOKUP(A207,子どもマスタ!$A$1:$F$301,5,FALSE),
FIND("(",VLOOKUP(A207,子どもマスタ!$A$1:$F$301,5,FALSE)),
FIND(")",VLOOKUP(A207,子どもマスタ!$A$1:$F$301,5,FALSE))
-FIND("(",VLOOKUP(A207,子どもマスタ!$A$1:$F$301,5,FALSE))+1,"")),"yyyy/mm/dd"),"")</f>
        <v/>
      </c>
      <c r="D207" s="35"/>
      <c r="E207" s="36"/>
      <c r="F207" s="34" t="str">
        <f>IF(A207="","",VALUE(貼り付け用!$B$2&amp;"1日")+MOD(ROW(A206)-1,DAY(EOMONTH(貼り付け用!$B$2&amp;"1日",0))))</f>
        <v/>
      </c>
      <c r="G207" s="34"/>
      <c r="H207" s="44" t="str">
        <f ca="1">IF(A207&lt;&gt;"",OFFSET('まとめ（登園）'!$B$1,MATCH(CSVフォーム!A207,'まとめ（登園）'!$B:$B,0)-1,MATCH(DAY(F207),'まとめ（登園）'!$2:$2,0)-2),"")</f>
        <v/>
      </c>
      <c r="I207" s="44" t="str">
        <f ca="1">IF(A207&lt;&gt;"",OFFSET('まとめ（降園）'!$B$1,MATCH(CSVフォーム!A207,'まとめ（降園）'!$B:$B,0)-1,MATCH(DAY(F207),'まとめ（降園）'!$2:$2,0)-2),"")</f>
        <v/>
      </c>
    </row>
    <row r="208" spans="1:9" ht="17.399999999999999" customHeight="1" x14ac:dyDescent="0.5">
      <c r="A208" s="33" t="str">
        <f t="array" ref="A208">IFERROR(INDEX('まとめ（登園）'!$B$3:$B$500,INT((ROW(A207)-1)/DAY(EOMONTH(貼り付け用!$B$2&amp;"1日",0)))+1)&amp;"","")</f>
        <v/>
      </c>
      <c r="B208" s="33" t="str">
        <f>IF(A208&lt;&gt;"",VLOOKUP(A208,子どもマスタ!$A$1:$F$301,2,FALSE),"")</f>
        <v/>
      </c>
      <c r="C208" s="34" t="str">
        <f>IF(A208&lt;&gt;"",
TEXT(VALUE(REPLACE(VLOOKUP(A208,子どもマスタ!$A$1:$F$301,5,FALSE),
FIND("(",VLOOKUP(A208,子どもマスタ!$A$1:$F$301,5,FALSE)),
FIND(")",VLOOKUP(A208,子どもマスタ!$A$1:$F$301,5,FALSE))
-FIND("(",VLOOKUP(A208,子どもマスタ!$A$1:$F$301,5,FALSE))+1,"")),"yyyy/mm/dd"),"")</f>
        <v/>
      </c>
      <c r="D208" s="35"/>
      <c r="E208" s="36"/>
      <c r="F208" s="34" t="str">
        <f>IF(A208="","",VALUE(貼り付け用!$B$2&amp;"1日")+MOD(ROW(A207)-1,DAY(EOMONTH(貼り付け用!$B$2&amp;"1日",0))))</f>
        <v/>
      </c>
      <c r="G208" s="34"/>
      <c r="H208" s="44" t="str">
        <f ca="1">IF(A208&lt;&gt;"",OFFSET('まとめ（登園）'!$B$1,MATCH(CSVフォーム!A208,'まとめ（登園）'!$B:$B,0)-1,MATCH(DAY(F208),'まとめ（登園）'!$2:$2,0)-2),"")</f>
        <v/>
      </c>
      <c r="I208" s="44" t="str">
        <f ca="1">IF(A208&lt;&gt;"",OFFSET('まとめ（降園）'!$B$1,MATCH(CSVフォーム!A208,'まとめ（降園）'!$B:$B,0)-1,MATCH(DAY(F208),'まとめ（降園）'!$2:$2,0)-2),"")</f>
        <v/>
      </c>
    </row>
    <row r="209" spans="1:9" ht="17.399999999999999" customHeight="1" x14ac:dyDescent="0.5">
      <c r="A209" s="33" t="str">
        <f t="array" ref="A209">IFERROR(INDEX('まとめ（登園）'!$B$3:$B$500,INT((ROW(A208)-1)/DAY(EOMONTH(貼り付け用!$B$2&amp;"1日",0)))+1)&amp;"","")</f>
        <v/>
      </c>
      <c r="B209" s="33" t="str">
        <f>IF(A209&lt;&gt;"",VLOOKUP(A209,子どもマスタ!$A$1:$F$301,2,FALSE),"")</f>
        <v/>
      </c>
      <c r="C209" s="34" t="str">
        <f>IF(A209&lt;&gt;"",
TEXT(VALUE(REPLACE(VLOOKUP(A209,子どもマスタ!$A$1:$F$301,5,FALSE),
FIND("(",VLOOKUP(A209,子どもマスタ!$A$1:$F$301,5,FALSE)),
FIND(")",VLOOKUP(A209,子どもマスタ!$A$1:$F$301,5,FALSE))
-FIND("(",VLOOKUP(A209,子どもマスタ!$A$1:$F$301,5,FALSE))+1,"")),"yyyy/mm/dd"),"")</f>
        <v/>
      </c>
      <c r="D209" s="35"/>
      <c r="E209" s="36"/>
      <c r="F209" s="34" t="str">
        <f>IF(A209="","",VALUE(貼り付け用!$B$2&amp;"1日")+MOD(ROW(A208)-1,DAY(EOMONTH(貼り付け用!$B$2&amp;"1日",0))))</f>
        <v/>
      </c>
      <c r="G209" s="34"/>
      <c r="H209" s="44" t="str">
        <f ca="1">IF(A209&lt;&gt;"",OFFSET('まとめ（登園）'!$B$1,MATCH(CSVフォーム!A209,'まとめ（登園）'!$B:$B,0)-1,MATCH(DAY(F209),'まとめ（登園）'!$2:$2,0)-2),"")</f>
        <v/>
      </c>
      <c r="I209" s="44" t="str">
        <f ca="1">IF(A209&lt;&gt;"",OFFSET('まとめ（降園）'!$B$1,MATCH(CSVフォーム!A209,'まとめ（降園）'!$B:$B,0)-1,MATCH(DAY(F209),'まとめ（降園）'!$2:$2,0)-2),"")</f>
        <v/>
      </c>
    </row>
    <row r="210" spans="1:9" ht="17.399999999999999" customHeight="1" x14ac:dyDescent="0.5">
      <c r="A210" s="33" t="str">
        <f t="array" ref="A210">IFERROR(INDEX('まとめ（登園）'!$B$3:$B$500,INT((ROW(A209)-1)/DAY(EOMONTH(貼り付け用!$B$2&amp;"1日",0)))+1)&amp;"","")</f>
        <v/>
      </c>
      <c r="B210" s="33" t="str">
        <f>IF(A210&lt;&gt;"",VLOOKUP(A210,子どもマスタ!$A$1:$F$301,2,FALSE),"")</f>
        <v/>
      </c>
      <c r="C210" s="34" t="str">
        <f>IF(A210&lt;&gt;"",
TEXT(VALUE(REPLACE(VLOOKUP(A210,子どもマスタ!$A$1:$F$301,5,FALSE),
FIND("(",VLOOKUP(A210,子どもマスタ!$A$1:$F$301,5,FALSE)),
FIND(")",VLOOKUP(A210,子どもマスタ!$A$1:$F$301,5,FALSE))
-FIND("(",VLOOKUP(A210,子どもマスタ!$A$1:$F$301,5,FALSE))+1,"")),"yyyy/mm/dd"),"")</f>
        <v/>
      </c>
      <c r="D210" s="35"/>
      <c r="E210" s="36"/>
      <c r="F210" s="34" t="str">
        <f>IF(A210="","",VALUE(貼り付け用!$B$2&amp;"1日")+MOD(ROW(A209)-1,DAY(EOMONTH(貼り付け用!$B$2&amp;"1日",0))))</f>
        <v/>
      </c>
      <c r="G210" s="34"/>
      <c r="H210" s="44" t="str">
        <f ca="1">IF(A210&lt;&gt;"",OFFSET('まとめ（登園）'!$B$1,MATCH(CSVフォーム!A210,'まとめ（登園）'!$B:$B,0)-1,MATCH(DAY(F210),'まとめ（登園）'!$2:$2,0)-2),"")</f>
        <v/>
      </c>
      <c r="I210" s="44" t="str">
        <f ca="1">IF(A210&lt;&gt;"",OFFSET('まとめ（降園）'!$B$1,MATCH(CSVフォーム!A210,'まとめ（降園）'!$B:$B,0)-1,MATCH(DAY(F210),'まとめ（降園）'!$2:$2,0)-2),"")</f>
        <v/>
      </c>
    </row>
    <row r="211" spans="1:9" ht="17.399999999999999" customHeight="1" x14ac:dyDescent="0.5">
      <c r="A211" s="33" t="str">
        <f t="array" ref="A211">IFERROR(INDEX('まとめ（登園）'!$B$3:$B$500,INT((ROW(A210)-1)/DAY(EOMONTH(貼り付け用!$B$2&amp;"1日",0)))+1)&amp;"","")</f>
        <v/>
      </c>
      <c r="B211" s="33" t="str">
        <f>IF(A211&lt;&gt;"",VLOOKUP(A211,子どもマスタ!$A$1:$F$301,2,FALSE),"")</f>
        <v/>
      </c>
      <c r="C211" s="34" t="str">
        <f>IF(A211&lt;&gt;"",
TEXT(VALUE(REPLACE(VLOOKUP(A211,子どもマスタ!$A$1:$F$301,5,FALSE),
FIND("(",VLOOKUP(A211,子どもマスタ!$A$1:$F$301,5,FALSE)),
FIND(")",VLOOKUP(A211,子どもマスタ!$A$1:$F$301,5,FALSE))
-FIND("(",VLOOKUP(A211,子どもマスタ!$A$1:$F$301,5,FALSE))+1,"")),"yyyy/mm/dd"),"")</f>
        <v/>
      </c>
      <c r="D211" s="35"/>
      <c r="E211" s="36"/>
      <c r="F211" s="34" t="str">
        <f>IF(A211="","",VALUE(貼り付け用!$B$2&amp;"1日")+MOD(ROW(A210)-1,DAY(EOMONTH(貼り付け用!$B$2&amp;"1日",0))))</f>
        <v/>
      </c>
      <c r="G211" s="34"/>
      <c r="H211" s="44" t="str">
        <f ca="1">IF(A211&lt;&gt;"",OFFSET('まとめ（登園）'!$B$1,MATCH(CSVフォーム!A211,'まとめ（登園）'!$B:$B,0)-1,MATCH(DAY(F211),'まとめ（登園）'!$2:$2,0)-2),"")</f>
        <v/>
      </c>
      <c r="I211" s="44" t="str">
        <f ca="1">IF(A211&lt;&gt;"",OFFSET('まとめ（降園）'!$B$1,MATCH(CSVフォーム!A211,'まとめ（降園）'!$B:$B,0)-1,MATCH(DAY(F211),'まとめ（降園）'!$2:$2,0)-2),"")</f>
        <v/>
      </c>
    </row>
    <row r="212" spans="1:9" ht="17.399999999999999" customHeight="1" x14ac:dyDescent="0.5">
      <c r="A212" s="33" t="str">
        <f t="array" ref="A212">IFERROR(INDEX('まとめ（登園）'!$B$3:$B$500,INT((ROW(A211)-1)/DAY(EOMONTH(貼り付け用!$B$2&amp;"1日",0)))+1)&amp;"","")</f>
        <v/>
      </c>
      <c r="B212" s="33" t="str">
        <f>IF(A212&lt;&gt;"",VLOOKUP(A212,子どもマスタ!$A$1:$F$301,2,FALSE),"")</f>
        <v/>
      </c>
      <c r="C212" s="34" t="str">
        <f>IF(A212&lt;&gt;"",
TEXT(VALUE(REPLACE(VLOOKUP(A212,子どもマスタ!$A$1:$F$301,5,FALSE),
FIND("(",VLOOKUP(A212,子どもマスタ!$A$1:$F$301,5,FALSE)),
FIND(")",VLOOKUP(A212,子どもマスタ!$A$1:$F$301,5,FALSE))
-FIND("(",VLOOKUP(A212,子どもマスタ!$A$1:$F$301,5,FALSE))+1,"")),"yyyy/mm/dd"),"")</f>
        <v/>
      </c>
      <c r="D212" s="35"/>
      <c r="E212" s="36"/>
      <c r="F212" s="34" t="str">
        <f>IF(A212="","",VALUE(貼り付け用!$B$2&amp;"1日")+MOD(ROW(A211)-1,DAY(EOMONTH(貼り付け用!$B$2&amp;"1日",0))))</f>
        <v/>
      </c>
      <c r="G212" s="34"/>
      <c r="H212" s="44" t="str">
        <f ca="1">IF(A212&lt;&gt;"",OFFSET('まとめ（登園）'!$B$1,MATCH(CSVフォーム!A212,'まとめ（登園）'!$B:$B,0)-1,MATCH(DAY(F212),'まとめ（登園）'!$2:$2,0)-2),"")</f>
        <v/>
      </c>
      <c r="I212" s="44" t="str">
        <f ca="1">IF(A212&lt;&gt;"",OFFSET('まとめ（降園）'!$B$1,MATCH(CSVフォーム!A212,'まとめ（降園）'!$B:$B,0)-1,MATCH(DAY(F212),'まとめ（降園）'!$2:$2,0)-2),"")</f>
        <v/>
      </c>
    </row>
    <row r="213" spans="1:9" ht="17.399999999999999" customHeight="1" x14ac:dyDescent="0.5">
      <c r="A213" s="33" t="str">
        <f t="array" ref="A213">IFERROR(INDEX('まとめ（登園）'!$B$3:$B$500,INT((ROW(A212)-1)/DAY(EOMONTH(貼り付け用!$B$2&amp;"1日",0)))+1)&amp;"","")</f>
        <v/>
      </c>
      <c r="B213" s="33" t="str">
        <f>IF(A213&lt;&gt;"",VLOOKUP(A213,子どもマスタ!$A$1:$F$301,2,FALSE),"")</f>
        <v/>
      </c>
      <c r="C213" s="34" t="str">
        <f>IF(A213&lt;&gt;"",
TEXT(VALUE(REPLACE(VLOOKUP(A213,子どもマスタ!$A$1:$F$301,5,FALSE),
FIND("(",VLOOKUP(A213,子どもマスタ!$A$1:$F$301,5,FALSE)),
FIND(")",VLOOKUP(A213,子どもマスタ!$A$1:$F$301,5,FALSE))
-FIND("(",VLOOKUP(A213,子どもマスタ!$A$1:$F$301,5,FALSE))+1,"")),"yyyy/mm/dd"),"")</f>
        <v/>
      </c>
      <c r="D213" s="35"/>
      <c r="E213" s="36"/>
      <c r="F213" s="34" t="str">
        <f>IF(A213="","",VALUE(貼り付け用!$B$2&amp;"1日")+MOD(ROW(A212)-1,DAY(EOMONTH(貼り付け用!$B$2&amp;"1日",0))))</f>
        <v/>
      </c>
      <c r="G213" s="34"/>
      <c r="H213" s="44" t="str">
        <f ca="1">IF(A213&lt;&gt;"",OFFSET('まとめ（登園）'!$B$1,MATCH(CSVフォーム!A213,'まとめ（登園）'!$B:$B,0)-1,MATCH(DAY(F213),'まとめ（登園）'!$2:$2,0)-2),"")</f>
        <v/>
      </c>
      <c r="I213" s="44" t="str">
        <f ca="1">IF(A213&lt;&gt;"",OFFSET('まとめ（降園）'!$B$1,MATCH(CSVフォーム!A213,'まとめ（降園）'!$B:$B,0)-1,MATCH(DAY(F213),'まとめ（降園）'!$2:$2,0)-2),"")</f>
        <v/>
      </c>
    </row>
    <row r="214" spans="1:9" ht="17.399999999999999" customHeight="1" x14ac:dyDescent="0.5">
      <c r="A214" s="33" t="str">
        <f t="array" ref="A214">IFERROR(INDEX('まとめ（登園）'!$B$3:$B$500,INT((ROW(A213)-1)/DAY(EOMONTH(貼り付け用!$B$2&amp;"1日",0)))+1)&amp;"","")</f>
        <v/>
      </c>
      <c r="B214" s="33" t="str">
        <f>IF(A214&lt;&gt;"",VLOOKUP(A214,子どもマスタ!$A$1:$F$301,2,FALSE),"")</f>
        <v/>
      </c>
      <c r="C214" s="34" t="str">
        <f>IF(A214&lt;&gt;"",
TEXT(VALUE(REPLACE(VLOOKUP(A214,子どもマスタ!$A$1:$F$301,5,FALSE),
FIND("(",VLOOKUP(A214,子どもマスタ!$A$1:$F$301,5,FALSE)),
FIND(")",VLOOKUP(A214,子どもマスタ!$A$1:$F$301,5,FALSE))
-FIND("(",VLOOKUP(A214,子どもマスタ!$A$1:$F$301,5,FALSE))+1,"")),"yyyy/mm/dd"),"")</f>
        <v/>
      </c>
      <c r="D214" s="35"/>
      <c r="E214" s="36"/>
      <c r="F214" s="34" t="str">
        <f>IF(A214="","",VALUE(貼り付け用!$B$2&amp;"1日")+MOD(ROW(A213)-1,DAY(EOMONTH(貼り付け用!$B$2&amp;"1日",0))))</f>
        <v/>
      </c>
      <c r="G214" s="34"/>
      <c r="H214" s="44" t="str">
        <f ca="1">IF(A214&lt;&gt;"",OFFSET('まとめ（登園）'!$B$1,MATCH(CSVフォーム!A214,'まとめ（登園）'!$B:$B,0)-1,MATCH(DAY(F214),'まとめ（登園）'!$2:$2,0)-2),"")</f>
        <v/>
      </c>
      <c r="I214" s="44" t="str">
        <f ca="1">IF(A214&lt;&gt;"",OFFSET('まとめ（降園）'!$B$1,MATCH(CSVフォーム!A214,'まとめ（降園）'!$B:$B,0)-1,MATCH(DAY(F214),'まとめ（降園）'!$2:$2,0)-2),"")</f>
        <v/>
      </c>
    </row>
    <row r="215" spans="1:9" ht="17.399999999999999" customHeight="1" x14ac:dyDescent="0.5">
      <c r="A215" s="33" t="str">
        <f t="array" ref="A215">IFERROR(INDEX('まとめ（登園）'!$B$3:$B$500,INT((ROW(A214)-1)/DAY(EOMONTH(貼り付け用!$B$2&amp;"1日",0)))+1)&amp;"","")</f>
        <v/>
      </c>
      <c r="B215" s="33" t="str">
        <f>IF(A215&lt;&gt;"",VLOOKUP(A215,子どもマスタ!$A$1:$F$301,2,FALSE),"")</f>
        <v/>
      </c>
      <c r="C215" s="34" t="str">
        <f>IF(A215&lt;&gt;"",
TEXT(VALUE(REPLACE(VLOOKUP(A215,子どもマスタ!$A$1:$F$301,5,FALSE),
FIND("(",VLOOKUP(A215,子どもマスタ!$A$1:$F$301,5,FALSE)),
FIND(")",VLOOKUP(A215,子どもマスタ!$A$1:$F$301,5,FALSE))
-FIND("(",VLOOKUP(A215,子どもマスタ!$A$1:$F$301,5,FALSE))+1,"")),"yyyy/mm/dd"),"")</f>
        <v/>
      </c>
      <c r="D215" s="35"/>
      <c r="E215" s="36"/>
      <c r="F215" s="34" t="str">
        <f>IF(A215="","",VALUE(貼り付け用!$B$2&amp;"1日")+MOD(ROW(A214)-1,DAY(EOMONTH(貼り付け用!$B$2&amp;"1日",0))))</f>
        <v/>
      </c>
      <c r="G215" s="34"/>
      <c r="H215" s="44" t="str">
        <f ca="1">IF(A215&lt;&gt;"",OFFSET('まとめ（登園）'!$B$1,MATCH(CSVフォーム!A215,'まとめ（登園）'!$B:$B,0)-1,MATCH(DAY(F215),'まとめ（登園）'!$2:$2,0)-2),"")</f>
        <v/>
      </c>
      <c r="I215" s="44" t="str">
        <f ca="1">IF(A215&lt;&gt;"",OFFSET('まとめ（降園）'!$B$1,MATCH(CSVフォーム!A215,'まとめ（降園）'!$B:$B,0)-1,MATCH(DAY(F215),'まとめ（降園）'!$2:$2,0)-2),"")</f>
        <v/>
      </c>
    </row>
    <row r="216" spans="1:9" ht="17.399999999999999" customHeight="1" x14ac:dyDescent="0.5">
      <c r="A216" s="33" t="str">
        <f t="array" ref="A216">IFERROR(INDEX('まとめ（登園）'!$B$3:$B$500,INT((ROW(A215)-1)/DAY(EOMONTH(貼り付け用!$B$2&amp;"1日",0)))+1)&amp;"","")</f>
        <v/>
      </c>
      <c r="B216" s="33" t="str">
        <f>IF(A216&lt;&gt;"",VLOOKUP(A216,子どもマスタ!$A$1:$F$301,2,FALSE),"")</f>
        <v/>
      </c>
      <c r="C216" s="34" t="str">
        <f>IF(A216&lt;&gt;"",
TEXT(VALUE(REPLACE(VLOOKUP(A216,子どもマスタ!$A$1:$F$301,5,FALSE),
FIND("(",VLOOKUP(A216,子どもマスタ!$A$1:$F$301,5,FALSE)),
FIND(")",VLOOKUP(A216,子どもマスタ!$A$1:$F$301,5,FALSE))
-FIND("(",VLOOKUP(A216,子どもマスタ!$A$1:$F$301,5,FALSE))+1,"")),"yyyy/mm/dd"),"")</f>
        <v/>
      </c>
      <c r="D216" s="35"/>
      <c r="E216" s="36"/>
      <c r="F216" s="34" t="str">
        <f>IF(A216="","",VALUE(貼り付け用!$B$2&amp;"1日")+MOD(ROW(A215)-1,DAY(EOMONTH(貼り付け用!$B$2&amp;"1日",0))))</f>
        <v/>
      </c>
      <c r="G216" s="34"/>
      <c r="H216" s="44" t="str">
        <f ca="1">IF(A216&lt;&gt;"",OFFSET('まとめ（登園）'!$B$1,MATCH(CSVフォーム!A216,'まとめ（登園）'!$B:$B,0)-1,MATCH(DAY(F216),'まとめ（登園）'!$2:$2,0)-2),"")</f>
        <v/>
      </c>
      <c r="I216" s="44" t="str">
        <f ca="1">IF(A216&lt;&gt;"",OFFSET('まとめ（降園）'!$B$1,MATCH(CSVフォーム!A216,'まとめ（降園）'!$B:$B,0)-1,MATCH(DAY(F216),'まとめ（降園）'!$2:$2,0)-2),"")</f>
        <v/>
      </c>
    </row>
    <row r="217" spans="1:9" ht="17.399999999999999" customHeight="1" x14ac:dyDescent="0.5">
      <c r="A217" s="33" t="str">
        <f t="array" ref="A217">IFERROR(INDEX('まとめ（登園）'!$B$3:$B$500,INT((ROW(A216)-1)/DAY(EOMONTH(貼り付け用!$B$2&amp;"1日",0)))+1)&amp;"","")</f>
        <v/>
      </c>
      <c r="B217" s="33" t="str">
        <f>IF(A217&lt;&gt;"",VLOOKUP(A217,子どもマスタ!$A$1:$F$301,2,FALSE),"")</f>
        <v/>
      </c>
      <c r="C217" s="34" t="str">
        <f>IF(A217&lt;&gt;"",
TEXT(VALUE(REPLACE(VLOOKUP(A217,子どもマスタ!$A$1:$F$301,5,FALSE),
FIND("(",VLOOKUP(A217,子どもマスタ!$A$1:$F$301,5,FALSE)),
FIND(")",VLOOKUP(A217,子どもマスタ!$A$1:$F$301,5,FALSE))
-FIND("(",VLOOKUP(A217,子どもマスタ!$A$1:$F$301,5,FALSE))+1,"")),"yyyy/mm/dd"),"")</f>
        <v/>
      </c>
      <c r="D217" s="35"/>
      <c r="E217" s="36"/>
      <c r="F217" s="34" t="str">
        <f>IF(A217="","",VALUE(貼り付け用!$B$2&amp;"1日")+MOD(ROW(A216)-1,DAY(EOMONTH(貼り付け用!$B$2&amp;"1日",0))))</f>
        <v/>
      </c>
      <c r="G217" s="34"/>
      <c r="H217" s="44" t="str">
        <f ca="1">IF(A217&lt;&gt;"",OFFSET('まとめ（登園）'!$B$1,MATCH(CSVフォーム!A217,'まとめ（登園）'!$B:$B,0)-1,MATCH(DAY(F217),'まとめ（登園）'!$2:$2,0)-2),"")</f>
        <v/>
      </c>
      <c r="I217" s="44" t="str">
        <f ca="1">IF(A217&lt;&gt;"",OFFSET('まとめ（降園）'!$B$1,MATCH(CSVフォーム!A217,'まとめ（降園）'!$B:$B,0)-1,MATCH(DAY(F217),'まとめ（降園）'!$2:$2,0)-2),"")</f>
        <v/>
      </c>
    </row>
    <row r="218" spans="1:9" ht="17.399999999999999" customHeight="1" x14ac:dyDescent="0.5">
      <c r="A218" s="33" t="str">
        <f t="array" ref="A218">IFERROR(INDEX('まとめ（登園）'!$B$3:$B$500,INT((ROW(A217)-1)/DAY(EOMONTH(貼り付け用!$B$2&amp;"1日",0)))+1)&amp;"","")</f>
        <v/>
      </c>
      <c r="B218" s="33" t="str">
        <f>IF(A218&lt;&gt;"",VLOOKUP(A218,子どもマスタ!$A$1:$F$301,2,FALSE),"")</f>
        <v/>
      </c>
      <c r="C218" s="34" t="str">
        <f>IF(A218&lt;&gt;"",
TEXT(VALUE(REPLACE(VLOOKUP(A218,子どもマスタ!$A$1:$F$301,5,FALSE),
FIND("(",VLOOKUP(A218,子どもマスタ!$A$1:$F$301,5,FALSE)),
FIND(")",VLOOKUP(A218,子どもマスタ!$A$1:$F$301,5,FALSE))
-FIND("(",VLOOKUP(A218,子どもマスタ!$A$1:$F$301,5,FALSE))+1,"")),"yyyy/mm/dd"),"")</f>
        <v/>
      </c>
      <c r="D218" s="35"/>
      <c r="E218" s="36"/>
      <c r="F218" s="34" t="str">
        <f>IF(A218="","",VALUE(貼り付け用!$B$2&amp;"1日")+MOD(ROW(A217)-1,DAY(EOMONTH(貼り付け用!$B$2&amp;"1日",0))))</f>
        <v/>
      </c>
      <c r="G218" s="34"/>
      <c r="H218" s="44" t="str">
        <f ca="1">IF(A218&lt;&gt;"",OFFSET('まとめ（登園）'!$B$1,MATCH(CSVフォーム!A218,'まとめ（登園）'!$B:$B,0)-1,MATCH(DAY(F218),'まとめ（登園）'!$2:$2,0)-2),"")</f>
        <v/>
      </c>
      <c r="I218" s="44" t="str">
        <f ca="1">IF(A218&lt;&gt;"",OFFSET('まとめ（降園）'!$B$1,MATCH(CSVフォーム!A218,'まとめ（降園）'!$B:$B,0)-1,MATCH(DAY(F218),'まとめ（降園）'!$2:$2,0)-2),"")</f>
        <v/>
      </c>
    </row>
    <row r="219" spans="1:9" ht="17.399999999999999" customHeight="1" x14ac:dyDescent="0.5">
      <c r="A219" s="33" t="str">
        <f t="array" ref="A219">IFERROR(INDEX('まとめ（登園）'!$B$3:$B$500,INT((ROW(A218)-1)/DAY(EOMONTH(貼り付け用!$B$2&amp;"1日",0)))+1)&amp;"","")</f>
        <v/>
      </c>
      <c r="B219" s="33" t="str">
        <f>IF(A219&lt;&gt;"",VLOOKUP(A219,子どもマスタ!$A$1:$F$301,2,FALSE),"")</f>
        <v/>
      </c>
      <c r="C219" s="34" t="str">
        <f>IF(A219&lt;&gt;"",
TEXT(VALUE(REPLACE(VLOOKUP(A219,子どもマスタ!$A$1:$F$301,5,FALSE),
FIND("(",VLOOKUP(A219,子どもマスタ!$A$1:$F$301,5,FALSE)),
FIND(")",VLOOKUP(A219,子どもマスタ!$A$1:$F$301,5,FALSE))
-FIND("(",VLOOKUP(A219,子どもマスタ!$A$1:$F$301,5,FALSE))+1,"")),"yyyy/mm/dd"),"")</f>
        <v/>
      </c>
      <c r="D219" s="35"/>
      <c r="E219" s="36"/>
      <c r="F219" s="34" t="str">
        <f>IF(A219="","",VALUE(貼り付け用!$B$2&amp;"1日")+MOD(ROW(A218)-1,DAY(EOMONTH(貼り付け用!$B$2&amp;"1日",0))))</f>
        <v/>
      </c>
      <c r="G219" s="34"/>
      <c r="H219" s="44" t="str">
        <f ca="1">IF(A219&lt;&gt;"",OFFSET('まとめ（登園）'!$B$1,MATCH(CSVフォーム!A219,'まとめ（登園）'!$B:$B,0)-1,MATCH(DAY(F219),'まとめ（登園）'!$2:$2,0)-2),"")</f>
        <v/>
      </c>
      <c r="I219" s="44" t="str">
        <f ca="1">IF(A219&lt;&gt;"",OFFSET('まとめ（降園）'!$B$1,MATCH(CSVフォーム!A219,'まとめ（降園）'!$B:$B,0)-1,MATCH(DAY(F219),'まとめ（降園）'!$2:$2,0)-2),"")</f>
        <v/>
      </c>
    </row>
    <row r="220" spans="1:9" ht="17.399999999999999" customHeight="1" x14ac:dyDescent="0.5">
      <c r="A220" s="33" t="str">
        <f t="array" ref="A220">IFERROR(INDEX('まとめ（登園）'!$B$3:$B$500,INT((ROW(A219)-1)/DAY(EOMONTH(貼り付け用!$B$2&amp;"1日",0)))+1)&amp;"","")</f>
        <v/>
      </c>
      <c r="B220" s="33" t="str">
        <f>IF(A220&lt;&gt;"",VLOOKUP(A220,子どもマスタ!$A$1:$F$301,2,FALSE),"")</f>
        <v/>
      </c>
      <c r="C220" s="34" t="str">
        <f>IF(A220&lt;&gt;"",
TEXT(VALUE(REPLACE(VLOOKUP(A220,子どもマスタ!$A$1:$F$301,5,FALSE),
FIND("(",VLOOKUP(A220,子どもマスタ!$A$1:$F$301,5,FALSE)),
FIND(")",VLOOKUP(A220,子どもマスタ!$A$1:$F$301,5,FALSE))
-FIND("(",VLOOKUP(A220,子どもマスタ!$A$1:$F$301,5,FALSE))+1,"")),"yyyy/mm/dd"),"")</f>
        <v/>
      </c>
      <c r="D220" s="35"/>
      <c r="E220" s="36"/>
      <c r="F220" s="34" t="str">
        <f>IF(A220="","",VALUE(貼り付け用!$B$2&amp;"1日")+MOD(ROW(A219)-1,DAY(EOMONTH(貼り付け用!$B$2&amp;"1日",0))))</f>
        <v/>
      </c>
      <c r="G220" s="34"/>
      <c r="H220" s="44" t="str">
        <f ca="1">IF(A220&lt;&gt;"",OFFSET('まとめ（登園）'!$B$1,MATCH(CSVフォーム!A220,'まとめ（登園）'!$B:$B,0)-1,MATCH(DAY(F220),'まとめ（登園）'!$2:$2,0)-2),"")</f>
        <v/>
      </c>
      <c r="I220" s="44" t="str">
        <f ca="1">IF(A220&lt;&gt;"",OFFSET('まとめ（降園）'!$B$1,MATCH(CSVフォーム!A220,'まとめ（降園）'!$B:$B,0)-1,MATCH(DAY(F220),'まとめ（降園）'!$2:$2,0)-2),"")</f>
        <v/>
      </c>
    </row>
    <row r="221" spans="1:9" ht="17.399999999999999" customHeight="1" x14ac:dyDescent="0.5">
      <c r="A221" s="33" t="str">
        <f t="array" ref="A221">IFERROR(INDEX('まとめ（登園）'!$B$3:$B$500,INT((ROW(A220)-1)/DAY(EOMONTH(貼り付け用!$B$2&amp;"1日",0)))+1)&amp;"","")</f>
        <v/>
      </c>
      <c r="B221" s="33" t="str">
        <f>IF(A221&lt;&gt;"",VLOOKUP(A221,子どもマスタ!$A$1:$F$301,2,FALSE),"")</f>
        <v/>
      </c>
      <c r="C221" s="34" t="str">
        <f>IF(A221&lt;&gt;"",
TEXT(VALUE(REPLACE(VLOOKUP(A221,子どもマスタ!$A$1:$F$301,5,FALSE),
FIND("(",VLOOKUP(A221,子どもマスタ!$A$1:$F$301,5,FALSE)),
FIND(")",VLOOKUP(A221,子どもマスタ!$A$1:$F$301,5,FALSE))
-FIND("(",VLOOKUP(A221,子どもマスタ!$A$1:$F$301,5,FALSE))+1,"")),"yyyy/mm/dd"),"")</f>
        <v/>
      </c>
      <c r="D221" s="35"/>
      <c r="E221" s="36"/>
      <c r="F221" s="34" t="str">
        <f>IF(A221="","",VALUE(貼り付け用!$B$2&amp;"1日")+MOD(ROW(A220)-1,DAY(EOMONTH(貼り付け用!$B$2&amp;"1日",0))))</f>
        <v/>
      </c>
      <c r="G221" s="34"/>
      <c r="H221" s="44" t="str">
        <f ca="1">IF(A221&lt;&gt;"",OFFSET('まとめ（登園）'!$B$1,MATCH(CSVフォーム!A221,'まとめ（登園）'!$B:$B,0)-1,MATCH(DAY(F221),'まとめ（登園）'!$2:$2,0)-2),"")</f>
        <v/>
      </c>
      <c r="I221" s="44" t="str">
        <f ca="1">IF(A221&lt;&gt;"",OFFSET('まとめ（降園）'!$B$1,MATCH(CSVフォーム!A221,'まとめ（降園）'!$B:$B,0)-1,MATCH(DAY(F221),'まとめ（降園）'!$2:$2,0)-2),"")</f>
        <v/>
      </c>
    </row>
    <row r="222" spans="1:9" ht="17.399999999999999" customHeight="1" x14ac:dyDescent="0.5">
      <c r="A222" s="33" t="str">
        <f t="array" ref="A222">IFERROR(INDEX('まとめ（登園）'!$B$3:$B$500,INT((ROW(A221)-1)/DAY(EOMONTH(貼り付け用!$B$2&amp;"1日",0)))+1)&amp;"","")</f>
        <v/>
      </c>
      <c r="B222" s="33" t="str">
        <f>IF(A222&lt;&gt;"",VLOOKUP(A222,子どもマスタ!$A$1:$F$301,2,FALSE),"")</f>
        <v/>
      </c>
      <c r="C222" s="34" t="str">
        <f>IF(A222&lt;&gt;"",
TEXT(VALUE(REPLACE(VLOOKUP(A222,子どもマスタ!$A$1:$F$301,5,FALSE),
FIND("(",VLOOKUP(A222,子どもマスタ!$A$1:$F$301,5,FALSE)),
FIND(")",VLOOKUP(A222,子どもマスタ!$A$1:$F$301,5,FALSE))
-FIND("(",VLOOKUP(A222,子どもマスタ!$A$1:$F$301,5,FALSE))+1,"")),"yyyy/mm/dd"),"")</f>
        <v/>
      </c>
      <c r="D222" s="35"/>
      <c r="E222" s="36"/>
      <c r="F222" s="34" t="str">
        <f>IF(A222="","",VALUE(貼り付け用!$B$2&amp;"1日")+MOD(ROW(A221)-1,DAY(EOMONTH(貼り付け用!$B$2&amp;"1日",0))))</f>
        <v/>
      </c>
      <c r="G222" s="34"/>
      <c r="H222" s="44" t="str">
        <f ca="1">IF(A222&lt;&gt;"",OFFSET('まとめ（登園）'!$B$1,MATCH(CSVフォーム!A222,'まとめ（登園）'!$B:$B,0)-1,MATCH(DAY(F222),'まとめ（登園）'!$2:$2,0)-2),"")</f>
        <v/>
      </c>
      <c r="I222" s="44" t="str">
        <f ca="1">IF(A222&lt;&gt;"",OFFSET('まとめ（降園）'!$B$1,MATCH(CSVフォーム!A222,'まとめ（降園）'!$B:$B,0)-1,MATCH(DAY(F222),'まとめ（降園）'!$2:$2,0)-2),"")</f>
        <v/>
      </c>
    </row>
    <row r="223" spans="1:9" ht="17.399999999999999" customHeight="1" x14ac:dyDescent="0.5">
      <c r="A223" s="33" t="str">
        <f t="array" ref="A223">IFERROR(INDEX('まとめ（登園）'!$B$3:$B$500,INT((ROW(A222)-1)/DAY(EOMONTH(貼り付け用!$B$2&amp;"1日",0)))+1)&amp;"","")</f>
        <v/>
      </c>
      <c r="B223" s="33" t="str">
        <f>IF(A223&lt;&gt;"",VLOOKUP(A223,子どもマスタ!$A$1:$F$301,2,FALSE),"")</f>
        <v/>
      </c>
      <c r="C223" s="34" t="str">
        <f>IF(A223&lt;&gt;"",
TEXT(VALUE(REPLACE(VLOOKUP(A223,子どもマスタ!$A$1:$F$301,5,FALSE),
FIND("(",VLOOKUP(A223,子どもマスタ!$A$1:$F$301,5,FALSE)),
FIND(")",VLOOKUP(A223,子どもマスタ!$A$1:$F$301,5,FALSE))
-FIND("(",VLOOKUP(A223,子どもマスタ!$A$1:$F$301,5,FALSE))+1,"")),"yyyy/mm/dd"),"")</f>
        <v/>
      </c>
      <c r="D223" s="35"/>
      <c r="E223" s="36"/>
      <c r="F223" s="34" t="str">
        <f>IF(A223="","",VALUE(貼り付け用!$B$2&amp;"1日")+MOD(ROW(A222)-1,DAY(EOMONTH(貼り付け用!$B$2&amp;"1日",0))))</f>
        <v/>
      </c>
      <c r="G223" s="34"/>
      <c r="H223" s="44" t="str">
        <f ca="1">IF(A223&lt;&gt;"",OFFSET('まとめ（登園）'!$B$1,MATCH(CSVフォーム!A223,'まとめ（登園）'!$B:$B,0)-1,MATCH(DAY(F223),'まとめ（登園）'!$2:$2,0)-2),"")</f>
        <v/>
      </c>
      <c r="I223" s="44" t="str">
        <f ca="1">IF(A223&lt;&gt;"",OFFSET('まとめ（降園）'!$B$1,MATCH(CSVフォーム!A223,'まとめ（降園）'!$B:$B,0)-1,MATCH(DAY(F223),'まとめ（降園）'!$2:$2,0)-2),"")</f>
        <v/>
      </c>
    </row>
    <row r="224" spans="1:9" ht="17.399999999999999" customHeight="1" x14ac:dyDescent="0.5">
      <c r="A224" s="33" t="str">
        <f t="array" ref="A224">IFERROR(INDEX('まとめ（登園）'!$B$3:$B$500,INT((ROW(A223)-1)/DAY(EOMONTH(貼り付け用!$B$2&amp;"1日",0)))+1)&amp;"","")</f>
        <v/>
      </c>
      <c r="B224" s="33" t="str">
        <f>IF(A224&lt;&gt;"",VLOOKUP(A224,子どもマスタ!$A$1:$F$301,2,FALSE),"")</f>
        <v/>
      </c>
      <c r="C224" s="34" t="str">
        <f>IF(A224&lt;&gt;"",
TEXT(VALUE(REPLACE(VLOOKUP(A224,子どもマスタ!$A$1:$F$301,5,FALSE),
FIND("(",VLOOKUP(A224,子どもマスタ!$A$1:$F$301,5,FALSE)),
FIND(")",VLOOKUP(A224,子どもマスタ!$A$1:$F$301,5,FALSE))
-FIND("(",VLOOKUP(A224,子どもマスタ!$A$1:$F$301,5,FALSE))+1,"")),"yyyy/mm/dd"),"")</f>
        <v/>
      </c>
      <c r="D224" s="35"/>
      <c r="E224" s="36"/>
      <c r="F224" s="34" t="str">
        <f>IF(A224="","",VALUE(貼り付け用!$B$2&amp;"1日")+MOD(ROW(A223)-1,DAY(EOMONTH(貼り付け用!$B$2&amp;"1日",0))))</f>
        <v/>
      </c>
      <c r="G224" s="34"/>
      <c r="H224" s="44" t="str">
        <f ca="1">IF(A224&lt;&gt;"",OFFSET('まとめ（登園）'!$B$1,MATCH(CSVフォーム!A224,'まとめ（登園）'!$B:$B,0)-1,MATCH(DAY(F224),'まとめ（登園）'!$2:$2,0)-2),"")</f>
        <v/>
      </c>
      <c r="I224" s="44" t="str">
        <f ca="1">IF(A224&lt;&gt;"",OFFSET('まとめ（降園）'!$B$1,MATCH(CSVフォーム!A224,'まとめ（降園）'!$B:$B,0)-1,MATCH(DAY(F224),'まとめ（降園）'!$2:$2,0)-2),"")</f>
        <v/>
      </c>
    </row>
    <row r="225" spans="1:9" ht="17.399999999999999" customHeight="1" x14ac:dyDescent="0.5">
      <c r="A225" s="33" t="str">
        <f t="array" ref="A225">IFERROR(INDEX('まとめ（登園）'!$B$3:$B$500,INT((ROW(A224)-1)/DAY(EOMONTH(貼り付け用!$B$2&amp;"1日",0)))+1)&amp;"","")</f>
        <v/>
      </c>
      <c r="B225" s="33" t="str">
        <f>IF(A225&lt;&gt;"",VLOOKUP(A225,子どもマスタ!$A$1:$F$301,2,FALSE),"")</f>
        <v/>
      </c>
      <c r="C225" s="34" t="str">
        <f>IF(A225&lt;&gt;"",
TEXT(VALUE(REPLACE(VLOOKUP(A225,子どもマスタ!$A$1:$F$301,5,FALSE),
FIND("(",VLOOKUP(A225,子どもマスタ!$A$1:$F$301,5,FALSE)),
FIND(")",VLOOKUP(A225,子どもマスタ!$A$1:$F$301,5,FALSE))
-FIND("(",VLOOKUP(A225,子どもマスタ!$A$1:$F$301,5,FALSE))+1,"")),"yyyy/mm/dd"),"")</f>
        <v/>
      </c>
      <c r="D225" s="35"/>
      <c r="E225" s="36"/>
      <c r="F225" s="34" t="str">
        <f>IF(A225="","",VALUE(貼り付け用!$B$2&amp;"1日")+MOD(ROW(A224)-1,DAY(EOMONTH(貼り付け用!$B$2&amp;"1日",0))))</f>
        <v/>
      </c>
      <c r="G225" s="34"/>
      <c r="H225" s="44" t="str">
        <f ca="1">IF(A225&lt;&gt;"",OFFSET('まとめ（登園）'!$B$1,MATCH(CSVフォーム!A225,'まとめ（登園）'!$B:$B,0)-1,MATCH(DAY(F225),'まとめ（登園）'!$2:$2,0)-2),"")</f>
        <v/>
      </c>
      <c r="I225" s="44" t="str">
        <f ca="1">IF(A225&lt;&gt;"",OFFSET('まとめ（降園）'!$B$1,MATCH(CSVフォーム!A225,'まとめ（降園）'!$B:$B,0)-1,MATCH(DAY(F225),'まとめ（降園）'!$2:$2,0)-2),"")</f>
        <v/>
      </c>
    </row>
    <row r="226" spans="1:9" ht="17.399999999999999" customHeight="1" x14ac:dyDescent="0.5">
      <c r="A226" s="33" t="str">
        <f t="array" ref="A226">IFERROR(INDEX('まとめ（登園）'!$B$3:$B$500,INT((ROW(A225)-1)/DAY(EOMONTH(貼り付け用!$B$2&amp;"1日",0)))+1)&amp;"","")</f>
        <v/>
      </c>
      <c r="B226" s="33" t="str">
        <f>IF(A226&lt;&gt;"",VLOOKUP(A226,子どもマスタ!$A$1:$F$301,2,FALSE),"")</f>
        <v/>
      </c>
      <c r="C226" s="34" t="str">
        <f>IF(A226&lt;&gt;"",
TEXT(VALUE(REPLACE(VLOOKUP(A226,子どもマスタ!$A$1:$F$301,5,FALSE),
FIND("(",VLOOKUP(A226,子どもマスタ!$A$1:$F$301,5,FALSE)),
FIND(")",VLOOKUP(A226,子どもマスタ!$A$1:$F$301,5,FALSE))
-FIND("(",VLOOKUP(A226,子どもマスタ!$A$1:$F$301,5,FALSE))+1,"")),"yyyy/mm/dd"),"")</f>
        <v/>
      </c>
      <c r="D226" s="35"/>
      <c r="E226" s="36"/>
      <c r="F226" s="34" t="str">
        <f>IF(A226="","",VALUE(貼り付け用!$B$2&amp;"1日")+MOD(ROW(A225)-1,DAY(EOMONTH(貼り付け用!$B$2&amp;"1日",0))))</f>
        <v/>
      </c>
      <c r="G226" s="34"/>
      <c r="H226" s="44" t="str">
        <f ca="1">IF(A226&lt;&gt;"",OFFSET('まとめ（登園）'!$B$1,MATCH(CSVフォーム!A226,'まとめ（登園）'!$B:$B,0)-1,MATCH(DAY(F226),'まとめ（登園）'!$2:$2,0)-2),"")</f>
        <v/>
      </c>
      <c r="I226" s="44" t="str">
        <f ca="1">IF(A226&lt;&gt;"",OFFSET('まとめ（降園）'!$B$1,MATCH(CSVフォーム!A226,'まとめ（降園）'!$B:$B,0)-1,MATCH(DAY(F226),'まとめ（降園）'!$2:$2,0)-2),"")</f>
        <v/>
      </c>
    </row>
    <row r="227" spans="1:9" ht="17.399999999999999" customHeight="1" x14ac:dyDescent="0.5">
      <c r="A227" s="33" t="str">
        <f t="array" ref="A227">IFERROR(INDEX('まとめ（登園）'!$B$3:$B$500,INT((ROW(A226)-1)/DAY(EOMONTH(貼り付け用!$B$2&amp;"1日",0)))+1)&amp;"","")</f>
        <v/>
      </c>
      <c r="B227" s="33" t="str">
        <f>IF(A227&lt;&gt;"",VLOOKUP(A227,子どもマスタ!$A$1:$F$301,2,FALSE),"")</f>
        <v/>
      </c>
      <c r="C227" s="34" t="str">
        <f>IF(A227&lt;&gt;"",
TEXT(VALUE(REPLACE(VLOOKUP(A227,子どもマスタ!$A$1:$F$301,5,FALSE),
FIND("(",VLOOKUP(A227,子どもマスタ!$A$1:$F$301,5,FALSE)),
FIND(")",VLOOKUP(A227,子どもマスタ!$A$1:$F$301,5,FALSE))
-FIND("(",VLOOKUP(A227,子どもマスタ!$A$1:$F$301,5,FALSE))+1,"")),"yyyy/mm/dd"),"")</f>
        <v/>
      </c>
      <c r="D227" s="35"/>
      <c r="E227" s="36"/>
      <c r="F227" s="34" t="str">
        <f>IF(A227="","",VALUE(貼り付け用!$B$2&amp;"1日")+MOD(ROW(A226)-1,DAY(EOMONTH(貼り付け用!$B$2&amp;"1日",0))))</f>
        <v/>
      </c>
      <c r="G227" s="34"/>
      <c r="H227" s="44" t="str">
        <f ca="1">IF(A227&lt;&gt;"",OFFSET('まとめ（登園）'!$B$1,MATCH(CSVフォーム!A227,'まとめ（登園）'!$B:$B,0)-1,MATCH(DAY(F227),'まとめ（登園）'!$2:$2,0)-2),"")</f>
        <v/>
      </c>
      <c r="I227" s="44" t="str">
        <f ca="1">IF(A227&lt;&gt;"",OFFSET('まとめ（降園）'!$B$1,MATCH(CSVフォーム!A227,'まとめ（降園）'!$B:$B,0)-1,MATCH(DAY(F227),'まとめ（降園）'!$2:$2,0)-2),"")</f>
        <v/>
      </c>
    </row>
    <row r="228" spans="1:9" ht="17.399999999999999" customHeight="1" x14ac:dyDescent="0.5">
      <c r="A228" s="33" t="str">
        <f t="array" ref="A228">IFERROR(INDEX('まとめ（登園）'!$B$3:$B$500,INT((ROW(A227)-1)/DAY(EOMONTH(貼り付け用!$B$2&amp;"1日",0)))+1)&amp;"","")</f>
        <v/>
      </c>
      <c r="B228" s="33" t="str">
        <f>IF(A228&lt;&gt;"",VLOOKUP(A228,子どもマスタ!$A$1:$F$301,2,FALSE),"")</f>
        <v/>
      </c>
      <c r="C228" s="34" t="str">
        <f>IF(A228&lt;&gt;"",
TEXT(VALUE(REPLACE(VLOOKUP(A228,子どもマスタ!$A$1:$F$301,5,FALSE),
FIND("(",VLOOKUP(A228,子どもマスタ!$A$1:$F$301,5,FALSE)),
FIND(")",VLOOKUP(A228,子どもマスタ!$A$1:$F$301,5,FALSE))
-FIND("(",VLOOKUP(A228,子どもマスタ!$A$1:$F$301,5,FALSE))+1,"")),"yyyy/mm/dd"),"")</f>
        <v/>
      </c>
      <c r="D228" s="35"/>
      <c r="E228" s="36"/>
      <c r="F228" s="34" t="str">
        <f>IF(A228="","",VALUE(貼り付け用!$B$2&amp;"1日")+MOD(ROW(A227)-1,DAY(EOMONTH(貼り付け用!$B$2&amp;"1日",0))))</f>
        <v/>
      </c>
      <c r="G228" s="34"/>
      <c r="H228" s="44" t="str">
        <f ca="1">IF(A228&lt;&gt;"",OFFSET('まとめ（登園）'!$B$1,MATCH(CSVフォーム!A228,'まとめ（登園）'!$B:$B,0)-1,MATCH(DAY(F228),'まとめ（登園）'!$2:$2,0)-2),"")</f>
        <v/>
      </c>
      <c r="I228" s="44" t="str">
        <f ca="1">IF(A228&lt;&gt;"",OFFSET('まとめ（降園）'!$B$1,MATCH(CSVフォーム!A228,'まとめ（降園）'!$B:$B,0)-1,MATCH(DAY(F228),'まとめ（降園）'!$2:$2,0)-2),"")</f>
        <v/>
      </c>
    </row>
    <row r="229" spans="1:9" ht="17.399999999999999" customHeight="1" x14ac:dyDescent="0.5">
      <c r="A229" s="33" t="str">
        <f t="array" ref="A229">IFERROR(INDEX('まとめ（登園）'!$B$3:$B$500,INT((ROW(A228)-1)/DAY(EOMONTH(貼り付け用!$B$2&amp;"1日",0)))+1)&amp;"","")</f>
        <v/>
      </c>
      <c r="B229" s="33" t="str">
        <f>IF(A229&lt;&gt;"",VLOOKUP(A229,子どもマスタ!$A$1:$F$301,2,FALSE),"")</f>
        <v/>
      </c>
      <c r="C229" s="34" t="str">
        <f>IF(A229&lt;&gt;"",
TEXT(VALUE(REPLACE(VLOOKUP(A229,子どもマスタ!$A$1:$F$301,5,FALSE),
FIND("(",VLOOKUP(A229,子どもマスタ!$A$1:$F$301,5,FALSE)),
FIND(")",VLOOKUP(A229,子どもマスタ!$A$1:$F$301,5,FALSE))
-FIND("(",VLOOKUP(A229,子どもマスタ!$A$1:$F$301,5,FALSE))+1,"")),"yyyy/mm/dd"),"")</f>
        <v/>
      </c>
      <c r="D229" s="35"/>
      <c r="E229" s="36"/>
      <c r="F229" s="34" t="str">
        <f>IF(A229="","",VALUE(貼り付け用!$B$2&amp;"1日")+MOD(ROW(A228)-1,DAY(EOMONTH(貼り付け用!$B$2&amp;"1日",0))))</f>
        <v/>
      </c>
      <c r="G229" s="34"/>
      <c r="H229" s="44" t="str">
        <f ca="1">IF(A229&lt;&gt;"",OFFSET('まとめ（登園）'!$B$1,MATCH(CSVフォーム!A229,'まとめ（登園）'!$B:$B,0)-1,MATCH(DAY(F229),'まとめ（登園）'!$2:$2,0)-2),"")</f>
        <v/>
      </c>
      <c r="I229" s="44" t="str">
        <f ca="1">IF(A229&lt;&gt;"",OFFSET('まとめ（降園）'!$B$1,MATCH(CSVフォーム!A229,'まとめ（降園）'!$B:$B,0)-1,MATCH(DAY(F229),'まとめ（降園）'!$2:$2,0)-2),"")</f>
        <v/>
      </c>
    </row>
    <row r="230" spans="1:9" ht="17.399999999999999" customHeight="1" x14ac:dyDescent="0.5">
      <c r="A230" s="33" t="str">
        <f t="array" ref="A230">IFERROR(INDEX('まとめ（登園）'!$B$3:$B$500,INT((ROW(A229)-1)/DAY(EOMONTH(貼り付け用!$B$2&amp;"1日",0)))+1)&amp;"","")</f>
        <v/>
      </c>
      <c r="B230" s="33" t="str">
        <f>IF(A230&lt;&gt;"",VLOOKUP(A230,子どもマスタ!$A$1:$F$301,2,FALSE),"")</f>
        <v/>
      </c>
      <c r="C230" s="34" t="str">
        <f>IF(A230&lt;&gt;"",
TEXT(VALUE(REPLACE(VLOOKUP(A230,子どもマスタ!$A$1:$F$301,5,FALSE),
FIND("(",VLOOKUP(A230,子どもマスタ!$A$1:$F$301,5,FALSE)),
FIND(")",VLOOKUP(A230,子どもマスタ!$A$1:$F$301,5,FALSE))
-FIND("(",VLOOKUP(A230,子どもマスタ!$A$1:$F$301,5,FALSE))+1,"")),"yyyy/mm/dd"),"")</f>
        <v/>
      </c>
      <c r="D230" s="35"/>
      <c r="E230" s="36"/>
      <c r="F230" s="34" t="str">
        <f>IF(A230="","",VALUE(貼り付け用!$B$2&amp;"1日")+MOD(ROW(A229)-1,DAY(EOMONTH(貼り付け用!$B$2&amp;"1日",0))))</f>
        <v/>
      </c>
      <c r="G230" s="34"/>
      <c r="H230" s="44" t="str">
        <f ca="1">IF(A230&lt;&gt;"",OFFSET('まとめ（登園）'!$B$1,MATCH(CSVフォーム!A230,'まとめ（登園）'!$B:$B,0)-1,MATCH(DAY(F230),'まとめ（登園）'!$2:$2,0)-2),"")</f>
        <v/>
      </c>
      <c r="I230" s="44" t="str">
        <f ca="1">IF(A230&lt;&gt;"",OFFSET('まとめ（降園）'!$B$1,MATCH(CSVフォーム!A230,'まとめ（降園）'!$B:$B,0)-1,MATCH(DAY(F230),'まとめ（降園）'!$2:$2,0)-2),"")</f>
        <v/>
      </c>
    </row>
    <row r="231" spans="1:9" ht="17.399999999999999" customHeight="1" x14ac:dyDescent="0.5">
      <c r="A231" s="33" t="str">
        <f t="array" ref="A231">IFERROR(INDEX('まとめ（登園）'!$B$3:$B$500,INT((ROW(A230)-1)/DAY(EOMONTH(貼り付け用!$B$2&amp;"1日",0)))+1)&amp;"","")</f>
        <v/>
      </c>
      <c r="B231" s="33" t="str">
        <f>IF(A231&lt;&gt;"",VLOOKUP(A231,子どもマスタ!$A$1:$F$301,2,FALSE),"")</f>
        <v/>
      </c>
      <c r="C231" s="34" t="str">
        <f>IF(A231&lt;&gt;"",
TEXT(VALUE(REPLACE(VLOOKUP(A231,子どもマスタ!$A$1:$F$301,5,FALSE),
FIND("(",VLOOKUP(A231,子どもマスタ!$A$1:$F$301,5,FALSE)),
FIND(")",VLOOKUP(A231,子どもマスタ!$A$1:$F$301,5,FALSE))
-FIND("(",VLOOKUP(A231,子どもマスタ!$A$1:$F$301,5,FALSE))+1,"")),"yyyy/mm/dd"),"")</f>
        <v/>
      </c>
      <c r="D231" s="35"/>
      <c r="E231" s="36"/>
      <c r="F231" s="34" t="str">
        <f>IF(A231="","",VALUE(貼り付け用!$B$2&amp;"1日")+MOD(ROW(A230)-1,DAY(EOMONTH(貼り付け用!$B$2&amp;"1日",0))))</f>
        <v/>
      </c>
      <c r="G231" s="34"/>
      <c r="H231" s="44" t="str">
        <f ca="1">IF(A231&lt;&gt;"",OFFSET('まとめ（登園）'!$B$1,MATCH(CSVフォーム!A231,'まとめ（登園）'!$B:$B,0)-1,MATCH(DAY(F231),'まとめ（登園）'!$2:$2,0)-2),"")</f>
        <v/>
      </c>
      <c r="I231" s="44" t="str">
        <f ca="1">IF(A231&lt;&gt;"",OFFSET('まとめ（降園）'!$B$1,MATCH(CSVフォーム!A231,'まとめ（降園）'!$B:$B,0)-1,MATCH(DAY(F231),'まとめ（降園）'!$2:$2,0)-2),"")</f>
        <v/>
      </c>
    </row>
    <row r="232" spans="1:9" ht="17.399999999999999" customHeight="1" x14ac:dyDescent="0.5">
      <c r="A232" s="33" t="str">
        <f t="array" ref="A232">IFERROR(INDEX('まとめ（登園）'!$B$3:$B$500,INT((ROW(A231)-1)/DAY(EOMONTH(貼り付け用!$B$2&amp;"1日",0)))+1)&amp;"","")</f>
        <v/>
      </c>
      <c r="B232" s="33" t="str">
        <f>IF(A232&lt;&gt;"",VLOOKUP(A232,子どもマスタ!$A$1:$F$301,2,FALSE),"")</f>
        <v/>
      </c>
      <c r="C232" s="34" t="str">
        <f>IF(A232&lt;&gt;"",
TEXT(VALUE(REPLACE(VLOOKUP(A232,子どもマスタ!$A$1:$F$301,5,FALSE),
FIND("(",VLOOKUP(A232,子どもマスタ!$A$1:$F$301,5,FALSE)),
FIND(")",VLOOKUP(A232,子どもマスタ!$A$1:$F$301,5,FALSE))
-FIND("(",VLOOKUP(A232,子どもマスタ!$A$1:$F$301,5,FALSE))+1,"")),"yyyy/mm/dd"),"")</f>
        <v/>
      </c>
      <c r="D232" s="35"/>
      <c r="E232" s="36"/>
      <c r="F232" s="34" t="str">
        <f>IF(A232="","",VALUE(貼り付け用!$B$2&amp;"1日")+MOD(ROW(A231)-1,DAY(EOMONTH(貼り付け用!$B$2&amp;"1日",0))))</f>
        <v/>
      </c>
      <c r="G232" s="34"/>
      <c r="H232" s="44" t="str">
        <f ca="1">IF(A232&lt;&gt;"",OFFSET('まとめ（登園）'!$B$1,MATCH(CSVフォーム!A232,'まとめ（登園）'!$B:$B,0)-1,MATCH(DAY(F232),'まとめ（登園）'!$2:$2,0)-2),"")</f>
        <v/>
      </c>
      <c r="I232" s="44" t="str">
        <f ca="1">IF(A232&lt;&gt;"",OFFSET('まとめ（降園）'!$B$1,MATCH(CSVフォーム!A232,'まとめ（降園）'!$B:$B,0)-1,MATCH(DAY(F232),'まとめ（降園）'!$2:$2,0)-2),"")</f>
        <v/>
      </c>
    </row>
    <row r="233" spans="1:9" ht="17.399999999999999" customHeight="1" x14ac:dyDescent="0.5">
      <c r="A233" s="33" t="str">
        <f t="array" ref="A233">IFERROR(INDEX('まとめ（登園）'!$B$3:$B$500,INT((ROW(A232)-1)/DAY(EOMONTH(貼り付け用!$B$2&amp;"1日",0)))+1)&amp;"","")</f>
        <v/>
      </c>
      <c r="B233" s="33" t="str">
        <f>IF(A233&lt;&gt;"",VLOOKUP(A233,子どもマスタ!$A$1:$F$301,2,FALSE),"")</f>
        <v/>
      </c>
      <c r="C233" s="34" t="str">
        <f>IF(A233&lt;&gt;"",
TEXT(VALUE(REPLACE(VLOOKUP(A233,子どもマスタ!$A$1:$F$301,5,FALSE),
FIND("(",VLOOKUP(A233,子どもマスタ!$A$1:$F$301,5,FALSE)),
FIND(")",VLOOKUP(A233,子どもマスタ!$A$1:$F$301,5,FALSE))
-FIND("(",VLOOKUP(A233,子どもマスタ!$A$1:$F$301,5,FALSE))+1,"")),"yyyy/mm/dd"),"")</f>
        <v/>
      </c>
      <c r="D233" s="35"/>
      <c r="E233" s="36"/>
      <c r="F233" s="34" t="str">
        <f>IF(A233="","",VALUE(貼り付け用!$B$2&amp;"1日")+MOD(ROW(A232)-1,DAY(EOMONTH(貼り付け用!$B$2&amp;"1日",0))))</f>
        <v/>
      </c>
      <c r="G233" s="34"/>
      <c r="H233" s="44" t="str">
        <f ca="1">IF(A233&lt;&gt;"",OFFSET('まとめ（登園）'!$B$1,MATCH(CSVフォーム!A233,'まとめ（登園）'!$B:$B,0)-1,MATCH(DAY(F233),'まとめ（登園）'!$2:$2,0)-2),"")</f>
        <v/>
      </c>
      <c r="I233" s="44" t="str">
        <f ca="1">IF(A233&lt;&gt;"",OFFSET('まとめ（降園）'!$B$1,MATCH(CSVフォーム!A233,'まとめ（降園）'!$B:$B,0)-1,MATCH(DAY(F233),'まとめ（降園）'!$2:$2,0)-2),"")</f>
        <v/>
      </c>
    </row>
    <row r="234" spans="1:9" ht="17.399999999999999" customHeight="1" x14ac:dyDescent="0.5">
      <c r="A234" s="33" t="str">
        <f t="array" ref="A234">IFERROR(INDEX('まとめ（登園）'!$B$3:$B$500,INT((ROW(A233)-1)/DAY(EOMONTH(貼り付け用!$B$2&amp;"1日",0)))+1)&amp;"","")</f>
        <v/>
      </c>
      <c r="B234" s="33" t="str">
        <f>IF(A234&lt;&gt;"",VLOOKUP(A234,子どもマスタ!$A$1:$F$301,2,FALSE),"")</f>
        <v/>
      </c>
      <c r="C234" s="34" t="str">
        <f>IF(A234&lt;&gt;"",
TEXT(VALUE(REPLACE(VLOOKUP(A234,子どもマスタ!$A$1:$F$301,5,FALSE),
FIND("(",VLOOKUP(A234,子どもマスタ!$A$1:$F$301,5,FALSE)),
FIND(")",VLOOKUP(A234,子どもマスタ!$A$1:$F$301,5,FALSE))
-FIND("(",VLOOKUP(A234,子どもマスタ!$A$1:$F$301,5,FALSE))+1,"")),"yyyy/mm/dd"),"")</f>
        <v/>
      </c>
      <c r="D234" s="35"/>
      <c r="E234" s="36"/>
      <c r="F234" s="34" t="str">
        <f>IF(A234="","",VALUE(貼り付け用!$B$2&amp;"1日")+MOD(ROW(A233)-1,DAY(EOMONTH(貼り付け用!$B$2&amp;"1日",0))))</f>
        <v/>
      </c>
      <c r="G234" s="34"/>
      <c r="H234" s="44" t="str">
        <f ca="1">IF(A234&lt;&gt;"",OFFSET('まとめ（登園）'!$B$1,MATCH(CSVフォーム!A234,'まとめ（登園）'!$B:$B,0)-1,MATCH(DAY(F234),'まとめ（登園）'!$2:$2,0)-2),"")</f>
        <v/>
      </c>
      <c r="I234" s="44" t="str">
        <f ca="1">IF(A234&lt;&gt;"",OFFSET('まとめ（降園）'!$B$1,MATCH(CSVフォーム!A234,'まとめ（降園）'!$B:$B,0)-1,MATCH(DAY(F234),'まとめ（降園）'!$2:$2,0)-2),"")</f>
        <v/>
      </c>
    </row>
    <row r="235" spans="1:9" ht="17.399999999999999" customHeight="1" x14ac:dyDescent="0.5">
      <c r="A235" s="33" t="str">
        <f t="array" ref="A235">IFERROR(INDEX('まとめ（登園）'!$B$3:$B$500,INT((ROW(A234)-1)/DAY(EOMONTH(貼り付け用!$B$2&amp;"1日",0)))+1)&amp;"","")</f>
        <v/>
      </c>
      <c r="B235" s="33" t="str">
        <f>IF(A235&lt;&gt;"",VLOOKUP(A235,子どもマスタ!$A$1:$F$301,2,FALSE),"")</f>
        <v/>
      </c>
      <c r="C235" s="34" t="str">
        <f>IF(A235&lt;&gt;"",
TEXT(VALUE(REPLACE(VLOOKUP(A235,子どもマスタ!$A$1:$F$301,5,FALSE),
FIND("(",VLOOKUP(A235,子どもマスタ!$A$1:$F$301,5,FALSE)),
FIND(")",VLOOKUP(A235,子どもマスタ!$A$1:$F$301,5,FALSE))
-FIND("(",VLOOKUP(A235,子どもマスタ!$A$1:$F$301,5,FALSE))+1,"")),"yyyy/mm/dd"),"")</f>
        <v/>
      </c>
      <c r="D235" s="35"/>
      <c r="E235" s="36"/>
      <c r="F235" s="34" t="str">
        <f>IF(A235="","",VALUE(貼り付け用!$B$2&amp;"1日")+MOD(ROW(A234)-1,DAY(EOMONTH(貼り付け用!$B$2&amp;"1日",0))))</f>
        <v/>
      </c>
      <c r="G235" s="34"/>
      <c r="H235" s="44" t="str">
        <f ca="1">IF(A235&lt;&gt;"",OFFSET('まとめ（登園）'!$B$1,MATCH(CSVフォーム!A235,'まとめ（登園）'!$B:$B,0)-1,MATCH(DAY(F235),'まとめ（登園）'!$2:$2,0)-2),"")</f>
        <v/>
      </c>
      <c r="I235" s="44" t="str">
        <f ca="1">IF(A235&lt;&gt;"",OFFSET('まとめ（降園）'!$B$1,MATCH(CSVフォーム!A235,'まとめ（降園）'!$B:$B,0)-1,MATCH(DAY(F235),'まとめ（降園）'!$2:$2,0)-2),"")</f>
        <v/>
      </c>
    </row>
    <row r="236" spans="1:9" ht="17.399999999999999" customHeight="1" x14ac:dyDescent="0.5">
      <c r="A236" s="33" t="str">
        <f t="array" ref="A236">IFERROR(INDEX('まとめ（登園）'!$B$3:$B$500,INT((ROW(A235)-1)/DAY(EOMONTH(貼り付け用!$B$2&amp;"1日",0)))+1)&amp;"","")</f>
        <v/>
      </c>
      <c r="B236" s="33" t="str">
        <f>IF(A236&lt;&gt;"",VLOOKUP(A236,子どもマスタ!$A$1:$F$301,2,FALSE),"")</f>
        <v/>
      </c>
      <c r="C236" s="34" t="str">
        <f>IF(A236&lt;&gt;"",
TEXT(VALUE(REPLACE(VLOOKUP(A236,子どもマスタ!$A$1:$F$301,5,FALSE),
FIND("(",VLOOKUP(A236,子どもマスタ!$A$1:$F$301,5,FALSE)),
FIND(")",VLOOKUP(A236,子どもマスタ!$A$1:$F$301,5,FALSE))
-FIND("(",VLOOKUP(A236,子どもマスタ!$A$1:$F$301,5,FALSE))+1,"")),"yyyy/mm/dd"),"")</f>
        <v/>
      </c>
      <c r="D236" s="35"/>
      <c r="E236" s="36"/>
      <c r="F236" s="34" t="str">
        <f>IF(A236="","",VALUE(貼り付け用!$B$2&amp;"1日")+MOD(ROW(A235)-1,DAY(EOMONTH(貼り付け用!$B$2&amp;"1日",0))))</f>
        <v/>
      </c>
      <c r="G236" s="34"/>
      <c r="H236" s="44" t="str">
        <f ca="1">IF(A236&lt;&gt;"",OFFSET('まとめ（登園）'!$B$1,MATCH(CSVフォーム!A236,'まとめ（登園）'!$B:$B,0)-1,MATCH(DAY(F236),'まとめ（登園）'!$2:$2,0)-2),"")</f>
        <v/>
      </c>
      <c r="I236" s="44" t="str">
        <f ca="1">IF(A236&lt;&gt;"",OFFSET('まとめ（降園）'!$B$1,MATCH(CSVフォーム!A236,'まとめ（降園）'!$B:$B,0)-1,MATCH(DAY(F236),'まとめ（降園）'!$2:$2,0)-2),"")</f>
        <v/>
      </c>
    </row>
    <row r="237" spans="1:9" ht="17.399999999999999" customHeight="1" x14ac:dyDescent="0.5">
      <c r="A237" s="33" t="str">
        <f t="array" ref="A237">IFERROR(INDEX('まとめ（登園）'!$B$3:$B$500,INT((ROW(A236)-1)/DAY(EOMONTH(貼り付け用!$B$2&amp;"1日",0)))+1)&amp;"","")</f>
        <v/>
      </c>
      <c r="B237" s="33" t="str">
        <f>IF(A237&lt;&gt;"",VLOOKUP(A237,子どもマスタ!$A$1:$F$301,2,FALSE),"")</f>
        <v/>
      </c>
      <c r="C237" s="34" t="str">
        <f>IF(A237&lt;&gt;"",
TEXT(VALUE(REPLACE(VLOOKUP(A237,子どもマスタ!$A$1:$F$301,5,FALSE),
FIND("(",VLOOKUP(A237,子どもマスタ!$A$1:$F$301,5,FALSE)),
FIND(")",VLOOKUP(A237,子どもマスタ!$A$1:$F$301,5,FALSE))
-FIND("(",VLOOKUP(A237,子どもマスタ!$A$1:$F$301,5,FALSE))+1,"")),"yyyy/mm/dd"),"")</f>
        <v/>
      </c>
      <c r="D237" s="35"/>
      <c r="E237" s="36"/>
      <c r="F237" s="34" t="str">
        <f>IF(A237="","",VALUE(貼り付け用!$B$2&amp;"1日")+MOD(ROW(A236)-1,DAY(EOMONTH(貼り付け用!$B$2&amp;"1日",0))))</f>
        <v/>
      </c>
      <c r="G237" s="34"/>
      <c r="H237" s="44" t="str">
        <f ca="1">IF(A237&lt;&gt;"",OFFSET('まとめ（登園）'!$B$1,MATCH(CSVフォーム!A237,'まとめ（登園）'!$B:$B,0)-1,MATCH(DAY(F237),'まとめ（登園）'!$2:$2,0)-2),"")</f>
        <v/>
      </c>
      <c r="I237" s="44" t="str">
        <f ca="1">IF(A237&lt;&gt;"",OFFSET('まとめ（降園）'!$B$1,MATCH(CSVフォーム!A237,'まとめ（降園）'!$B:$B,0)-1,MATCH(DAY(F237),'まとめ（降園）'!$2:$2,0)-2),"")</f>
        <v/>
      </c>
    </row>
    <row r="238" spans="1:9" ht="17.399999999999999" customHeight="1" x14ac:dyDescent="0.5">
      <c r="A238" s="33" t="str">
        <f t="array" ref="A238">IFERROR(INDEX('まとめ（登園）'!$B$3:$B$500,INT((ROW(A237)-1)/DAY(EOMONTH(貼り付け用!$B$2&amp;"1日",0)))+1)&amp;"","")</f>
        <v/>
      </c>
      <c r="B238" s="33" t="str">
        <f>IF(A238&lt;&gt;"",VLOOKUP(A238,子どもマスタ!$A$1:$F$301,2,FALSE),"")</f>
        <v/>
      </c>
      <c r="C238" s="34" t="str">
        <f>IF(A238&lt;&gt;"",
TEXT(VALUE(REPLACE(VLOOKUP(A238,子どもマスタ!$A$1:$F$301,5,FALSE),
FIND("(",VLOOKUP(A238,子どもマスタ!$A$1:$F$301,5,FALSE)),
FIND(")",VLOOKUP(A238,子どもマスタ!$A$1:$F$301,5,FALSE))
-FIND("(",VLOOKUP(A238,子どもマスタ!$A$1:$F$301,5,FALSE))+1,"")),"yyyy/mm/dd"),"")</f>
        <v/>
      </c>
      <c r="D238" s="35"/>
      <c r="E238" s="36"/>
      <c r="F238" s="34" t="str">
        <f>IF(A238="","",VALUE(貼り付け用!$B$2&amp;"1日")+MOD(ROW(A237)-1,DAY(EOMONTH(貼り付け用!$B$2&amp;"1日",0))))</f>
        <v/>
      </c>
      <c r="G238" s="34"/>
      <c r="H238" s="44" t="str">
        <f ca="1">IF(A238&lt;&gt;"",OFFSET('まとめ（登園）'!$B$1,MATCH(CSVフォーム!A238,'まとめ（登園）'!$B:$B,0)-1,MATCH(DAY(F238),'まとめ（登園）'!$2:$2,0)-2),"")</f>
        <v/>
      </c>
      <c r="I238" s="44" t="str">
        <f ca="1">IF(A238&lt;&gt;"",OFFSET('まとめ（降園）'!$B$1,MATCH(CSVフォーム!A238,'まとめ（降園）'!$B:$B,0)-1,MATCH(DAY(F238),'まとめ（降園）'!$2:$2,0)-2),"")</f>
        <v/>
      </c>
    </row>
    <row r="239" spans="1:9" ht="17.399999999999999" customHeight="1" x14ac:dyDescent="0.5">
      <c r="A239" s="33" t="str">
        <f t="array" ref="A239">IFERROR(INDEX('まとめ（登園）'!$B$3:$B$500,INT((ROW(A238)-1)/DAY(EOMONTH(貼り付け用!$B$2&amp;"1日",0)))+1)&amp;"","")</f>
        <v/>
      </c>
      <c r="B239" s="33" t="str">
        <f>IF(A239&lt;&gt;"",VLOOKUP(A239,子どもマスタ!$A$1:$F$301,2,FALSE),"")</f>
        <v/>
      </c>
      <c r="C239" s="34" t="str">
        <f>IF(A239&lt;&gt;"",
TEXT(VALUE(REPLACE(VLOOKUP(A239,子どもマスタ!$A$1:$F$301,5,FALSE),
FIND("(",VLOOKUP(A239,子どもマスタ!$A$1:$F$301,5,FALSE)),
FIND(")",VLOOKUP(A239,子どもマスタ!$A$1:$F$301,5,FALSE))
-FIND("(",VLOOKUP(A239,子どもマスタ!$A$1:$F$301,5,FALSE))+1,"")),"yyyy/mm/dd"),"")</f>
        <v/>
      </c>
      <c r="D239" s="35"/>
      <c r="E239" s="36"/>
      <c r="F239" s="34" t="str">
        <f>IF(A239="","",VALUE(貼り付け用!$B$2&amp;"1日")+MOD(ROW(A238)-1,DAY(EOMONTH(貼り付け用!$B$2&amp;"1日",0))))</f>
        <v/>
      </c>
      <c r="G239" s="34"/>
      <c r="H239" s="44" t="str">
        <f ca="1">IF(A239&lt;&gt;"",OFFSET('まとめ（登園）'!$B$1,MATCH(CSVフォーム!A239,'まとめ（登園）'!$B:$B,0)-1,MATCH(DAY(F239),'まとめ（登園）'!$2:$2,0)-2),"")</f>
        <v/>
      </c>
      <c r="I239" s="44" t="str">
        <f ca="1">IF(A239&lt;&gt;"",OFFSET('まとめ（降園）'!$B$1,MATCH(CSVフォーム!A239,'まとめ（降園）'!$B:$B,0)-1,MATCH(DAY(F239),'まとめ（降園）'!$2:$2,0)-2),"")</f>
        <v/>
      </c>
    </row>
    <row r="240" spans="1:9" ht="17.399999999999999" customHeight="1" x14ac:dyDescent="0.5">
      <c r="A240" s="33" t="str">
        <f t="array" ref="A240">IFERROR(INDEX('まとめ（登園）'!$B$3:$B$500,INT((ROW(A239)-1)/DAY(EOMONTH(貼り付け用!$B$2&amp;"1日",0)))+1)&amp;"","")</f>
        <v/>
      </c>
      <c r="B240" s="33" t="str">
        <f>IF(A240&lt;&gt;"",VLOOKUP(A240,子どもマスタ!$A$1:$F$301,2,FALSE),"")</f>
        <v/>
      </c>
      <c r="C240" s="34" t="str">
        <f>IF(A240&lt;&gt;"",
TEXT(VALUE(REPLACE(VLOOKUP(A240,子どもマスタ!$A$1:$F$301,5,FALSE),
FIND("(",VLOOKUP(A240,子どもマスタ!$A$1:$F$301,5,FALSE)),
FIND(")",VLOOKUP(A240,子どもマスタ!$A$1:$F$301,5,FALSE))
-FIND("(",VLOOKUP(A240,子どもマスタ!$A$1:$F$301,5,FALSE))+1,"")),"yyyy/mm/dd"),"")</f>
        <v/>
      </c>
      <c r="D240" s="35"/>
      <c r="E240" s="36"/>
      <c r="F240" s="34" t="str">
        <f>IF(A240="","",VALUE(貼り付け用!$B$2&amp;"1日")+MOD(ROW(A239)-1,DAY(EOMONTH(貼り付け用!$B$2&amp;"1日",0))))</f>
        <v/>
      </c>
      <c r="G240" s="34"/>
      <c r="H240" s="44" t="str">
        <f ca="1">IF(A240&lt;&gt;"",OFFSET('まとめ（登園）'!$B$1,MATCH(CSVフォーム!A240,'まとめ（登園）'!$B:$B,0)-1,MATCH(DAY(F240),'まとめ（登園）'!$2:$2,0)-2),"")</f>
        <v/>
      </c>
      <c r="I240" s="44" t="str">
        <f ca="1">IF(A240&lt;&gt;"",OFFSET('まとめ（降園）'!$B$1,MATCH(CSVフォーム!A240,'まとめ（降園）'!$B:$B,0)-1,MATCH(DAY(F240),'まとめ（降園）'!$2:$2,0)-2),"")</f>
        <v/>
      </c>
    </row>
    <row r="241" spans="1:9" ht="17.399999999999999" customHeight="1" x14ac:dyDescent="0.5">
      <c r="A241" s="33" t="str">
        <f t="array" ref="A241">IFERROR(INDEX('まとめ（登園）'!$B$3:$B$500,INT((ROW(A240)-1)/DAY(EOMONTH(貼り付け用!$B$2&amp;"1日",0)))+1)&amp;"","")</f>
        <v/>
      </c>
      <c r="B241" s="33" t="str">
        <f>IF(A241&lt;&gt;"",VLOOKUP(A241,子どもマスタ!$A$1:$F$301,2,FALSE),"")</f>
        <v/>
      </c>
      <c r="C241" s="34" t="str">
        <f>IF(A241&lt;&gt;"",
TEXT(VALUE(REPLACE(VLOOKUP(A241,子どもマスタ!$A$1:$F$301,5,FALSE),
FIND("(",VLOOKUP(A241,子どもマスタ!$A$1:$F$301,5,FALSE)),
FIND(")",VLOOKUP(A241,子どもマスタ!$A$1:$F$301,5,FALSE))
-FIND("(",VLOOKUP(A241,子どもマスタ!$A$1:$F$301,5,FALSE))+1,"")),"yyyy/mm/dd"),"")</f>
        <v/>
      </c>
      <c r="D241" s="35"/>
      <c r="E241" s="36"/>
      <c r="F241" s="34" t="str">
        <f>IF(A241="","",VALUE(貼り付け用!$B$2&amp;"1日")+MOD(ROW(A240)-1,DAY(EOMONTH(貼り付け用!$B$2&amp;"1日",0))))</f>
        <v/>
      </c>
      <c r="G241" s="34"/>
      <c r="H241" s="44" t="str">
        <f ca="1">IF(A241&lt;&gt;"",OFFSET('まとめ（登園）'!$B$1,MATCH(CSVフォーム!A241,'まとめ（登園）'!$B:$B,0)-1,MATCH(DAY(F241),'まとめ（登園）'!$2:$2,0)-2),"")</f>
        <v/>
      </c>
      <c r="I241" s="44" t="str">
        <f ca="1">IF(A241&lt;&gt;"",OFFSET('まとめ（降園）'!$B$1,MATCH(CSVフォーム!A241,'まとめ（降園）'!$B:$B,0)-1,MATCH(DAY(F241),'まとめ（降園）'!$2:$2,0)-2),"")</f>
        <v/>
      </c>
    </row>
    <row r="242" spans="1:9" ht="17.399999999999999" customHeight="1" x14ac:dyDescent="0.5">
      <c r="A242" s="33" t="str">
        <f t="array" ref="A242">IFERROR(INDEX('まとめ（登園）'!$B$3:$B$500,INT((ROW(A241)-1)/DAY(EOMONTH(貼り付け用!$B$2&amp;"1日",0)))+1)&amp;"","")</f>
        <v/>
      </c>
      <c r="B242" s="33" t="str">
        <f>IF(A242&lt;&gt;"",VLOOKUP(A242,子どもマスタ!$A$1:$F$301,2,FALSE),"")</f>
        <v/>
      </c>
      <c r="C242" s="34" t="str">
        <f>IF(A242&lt;&gt;"",
TEXT(VALUE(REPLACE(VLOOKUP(A242,子どもマスタ!$A$1:$F$301,5,FALSE),
FIND("(",VLOOKUP(A242,子どもマスタ!$A$1:$F$301,5,FALSE)),
FIND(")",VLOOKUP(A242,子どもマスタ!$A$1:$F$301,5,FALSE))
-FIND("(",VLOOKUP(A242,子どもマスタ!$A$1:$F$301,5,FALSE))+1,"")),"yyyy/mm/dd"),"")</f>
        <v/>
      </c>
      <c r="D242" s="35"/>
      <c r="E242" s="36"/>
      <c r="F242" s="34" t="str">
        <f>IF(A242="","",VALUE(貼り付け用!$B$2&amp;"1日")+MOD(ROW(A241)-1,DAY(EOMONTH(貼り付け用!$B$2&amp;"1日",0))))</f>
        <v/>
      </c>
      <c r="G242" s="34"/>
      <c r="H242" s="44" t="str">
        <f ca="1">IF(A242&lt;&gt;"",OFFSET('まとめ（登園）'!$B$1,MATCH(CSVフォーム!A242,'まとめ（登園）'!$B:$B,0)-1,MATCH(DAY(F242),'まとめ（登園）'!$2:$2,0)-2),"")</f>
        <v/>
      </c>
      <c r="I242" s="44" t="str">
        <f ca="1">IF(A242&lt;&gt;"",OFFSET('まとめ（降園）'!$B$1,MATCH(CSVフォーム!A242,'まとめ（降園）'!$B:$B,0)-1,MATCH(DAY(F242),'まとめ（降園）'!$2:$2,0)-2),"")</f>
        <v/>
      </c>
    </row>
    <row r="243" spans="1:9" ht="17.399999999999999" customHeight="1" x14ac:dyDescent="0.5">
      <c r="A243" s="33" t="str">
        <f t="array" ref="A243">IFERROR(INDEX('まとめ（登園）'!$B$3:$B$500,INT((ROW(A242)-1)/DAY(EOMONTH(貼り付け用!$B$2&amp;"1日",0)))+1)&amp;"","")</f>
        <v/>
      </c>
      <c r="B243" s="33" t="str">
        <f>IF(A243&lt;&gt;"",VLOOKUP(A243,子どもマスタ!$A$1:$F$301,2,FALSE),"")</f>
        <v/>
      </c>
      <c r="C243" s="34" t="str">
        <f>IF(A243&lt;&gt;"",
TEXT(VALUE(REPLACE(VLOOKUP(A243,子どもマスタ!$A$1:$F$301,5,FALSE),
FIND("(",VLOOKUP(A243,子どもマスタ!$A$1:$F$301,5,FALSE)),
FIND(")",VLOOKUP(A243,子どもマスタ!$A$1:$F$301,5,FALSE))
-FIND("(",VLOOKUP(A243,子どもマスタ!$A$1:$F$301,5,FALSE))+1,"")),"yyyy/mm/dd"),"")</f>
        <v/>
      </c>
      <c r="D243" s="35"/>
      <c r="E243" s="36"/>
      <c r="F243" s="34" t="str">
        <f>IF(A243="","",VALUE(貼り付け用!$B$2&amp;"1日")+MOD(ROW(A242)-1,DAY(EOMONTH(貼り付け用!$B$2&amp;"1日",0))))</f>
        <v/>
      </c>
      <c r="G243" s="34"/>
      <c r="H243" s="44" t="str">
        <f ca="1">IF(A243&lt;&gt;"",OFFSET('まとめ（登園）'!$B$1,MATCH(CSVフォーム!A243,'まとめ（登園）'!$B:$B,0)-1,MATCH(DAY(F243),'まとめ（登園）'!$2:$2,0)-2),"")</f>
        <v/>
      </c>
      <c r="I243" s="44" t="str">
        <f ca="1">IF(A243&lt;&gt;"",OFFSET('まとめ（降園）'!$B$1,MATCH(CSVフォーム!A243,'まとめ（降園）'!$B:$B,0)-1,MATCH(DAY(F243),'まとめ（降園）'!$2:$2,0)-2),"")</f>
        <v/>
      </c>
    </row>
    <row r="244" spans="1:9" ht="17.399999999999999" customHeight="1" x14ac:dyDescent="0.5">
      <c r="A244" s="33" t="str">
        <f t="array" ref="A244">IFERROR(INDEX('まとめ（登園）'!$B$3:$B$500,INT((ROW(A243)-1)/DAY(EOMONTH(貼り付け用!$B$2&amp;"1日",0)))+1)&amp;"","")</f>
        <v/>
      </c>
      <c r="B244" s="33" t="str">
        <f>IF(A244&lt;&gt;"",VLOOKUP(A244,子どもマスタ!$A$1:$F$301,2,FALSE),"")</f>
        <v/>
      </c>
      <c r="C244" s="34" t="str">
        <f>IF(A244&lt;&gt;"",
TEXT(VALUE(REPLACE(VLOOKUP(A244,子どもマスタ!$A$1:$F$301,5,FALSE),
FIND("(",VLOOKUP(A244,子どもマスタ!$A$1:$F$301,5,FALSE)),
FIND(")",VLOOKUP(A244,子どもマスタ!$A$1:$F$301,5,FALSE))
-FIND("(",VLOOKUP(A244,子どもマスタ!$A$1:$F$301,5,FALSE))+1,"")),"yyyy/mm/dd"),"")</f>
        <v/>
      </c>
      <c r="D244" s="35"/>
      <c r="E244" s="36"/>
      <c r="F244" s="34" t="str">
        <f>IF(A244="","",VALUE(貼り付け用!$B$2&amp;"1日")+MOD(ROW(A243)-1,DAY(EOMONTH(貼り付け用!$B$2&amp;"1日",0))))</f>
        <v/>
      </c>
      <c r="G244" s="34"/>
      <c r="H244" s="44" t="str">
        <f ca="1">IF(A244&lt;&gt;"",OFFSET('まとめ（登園）'!$B$1,MATCH(CSVフォーム!A244,'まとめ（登園）'!$B:$B,0)-1,MATCH(DAY(F244),'まとめ（登園）'!$2:$2,0)-2),"")</f>
        <v/>
      </c>
      <c r="I244" s="44" t="str">
        <f ca="1">IF(A244&lt;&gt;"",OFFSET('まとめ（降園）'!$B$1,MATCH(CSVフォーム!A244,'まとめ（降園）'!$B:$B,0)-1,MATCH(DAY(F244),'まとめ（降園）'!$2:$2,0)-2),"")</f>
        <v/>
      </c>
    </row>
    <row r="245" spans="1:9" ht="17.399999999999999" customHeight="1" x14ac:dyDescent="0.5">
      <c r="A245" s="33" t="str">
        <f t="array" ref="A245">IFERROR(INDEX('まとめ（登園）'!$B$3:$B$500,INT((ROW(A244)-1)/DAY(EOMONTH(貼り付け用!$B$2&amp;"1日",0)))+1)&amp;"","")</f>
        <v/>
      </c>
      <c r="B245" s="33" t="str">
        <f>IF(A245&lt;&gt;"",VLOOKUP(A245,子どもマスタ!$A$1:$F$301,2,FALSE),"")</f>
        <v/>
      </c>
      <c r="C245" s="34" t="str">
        <f>IF(A245&lt;&gt;"",
TEXT(VALUE(REPLACE(VLOOKUP(A245,子どもマスタ!$A$1:$F$301,5,FALSE),
FIND("(",VLOOKUP(A245,子どもマスタ!$A$1:$F$301,5,FALSE)),
FIND(")",VLOOKUP(A245,子どもマスタ!$A$1:$F$301,5,FALSE))
-FIND("(",VLOOKUP(A245,子どもマスタ!$A$1:$F$301,5,FALSE))+1,"")),"yyyy/mm/dd"),"")</f>
        <v/>
      </c>
      <c r="D245" s="35"/>
      <c r="E245" s="36"/>
      <c r="F245" s="34" t="str">
        <f>IF(A245="","",VALUE(貼り付け用!$B$2&amp;"1日")+MOD(ROW(A244)-1,DAY(EOMONTH(貼り付け用!$B$2&amp;"1日",0))))</f>
        <v/>
      </c>
      <c r="G245" s="34"/>
      <c r="H245" s="44" t="str">
        <f ca="1">IF(A245&lt;&gt;"",OFFSET('まとめ（登園）'!$B$1,MATCH(CSVフォーム!A245,'まとめ（登園）'!$B:$B,0)-1,MATCH(DAY(F245),'まとめ（登園）'!$2:$2,0)-2),"")</f>
        <v/>
      </c>
      <c r="I245" s="44" t="str">
        <f ca="1">IF(A245&lt;&gt;"",OFFSET('まとめ（降園）'!$B$1,MATCH(CSVフォーム!A245,'まとめ（降園）'!$B:$B,0)-1,MATCH(DAY(F245),'まとめ（降園）'!$2:$2,0)-2),"")</f>
        <v/>
      </c>
    </row>
    <row r="246" spans="1:9" ht="17.399999999999999" customHeight="1" x14ac:dyDescent="0.5">
      <c r="A246" s="33" t="str">
        <f t="array" ref="A246">IFERROR(INDEX('まとめ（登園）'!$B$3:$B$500,INT((ROW(A245)-1)/DAY(EOMONTH(貼り付け用!$B$2&amp;"1日",0)))+1)&amp;"","")</f>
        <v/>
      </c>
      <c r="B246" s="33" t="str">
        <f>IF(A246&lt;&gt;"",VLOOKUP(A246,子どもマスタ!$A$1:$F$301,2,FALSE),"")</f>
        <v/>
      </c>
      <c r="C246" s="34" t="str">
        <f>IF(A246&lt;&gt;"",
TEXT(VALUE(REPLACE(VLOOKUP(A246,子どもマスタ!$A$1:$F$301,5,FALSE),
FIND("(",VLOOKUP(A246,子どもマスタ!$A$1:$F$301,5,FALSE)),
FIND(")",VLOOKUP(A246,子どもマスタ!$A$1:$F$301,5,FALSE))
-FIND("(",VLOOKUP(A246,子どもマスタ!$A$1:$F$301,5,FALSE))+1,"")),"yyyy/mm/dd"),"")</f>
        <v/>
      </c>
      <c r="D246" s="35"/>
      <c r="E246" s="36"/>
      <c r="F246" s="34" t="str">
        <f>IF(A246="","",VALUE(貼り付け用!$B$2&amp;"1日")+MOD(ROW(A245)-1,DAY(EOMONTH(貼り付け用!$B$2&amp;"1日",0))))</f>
        <v/>
      </c>
      <c r="G246" s="34"/>
      <c r="H246" s="44" t="str">
        <f ca="1">IF(A246&lt;&gt;"",OFFSET('まとめ（登園）'!$B$1,MATCH(CSVフォーム!A246,'まとめ（登園）'!$B:$B,0)-1,MATCH(DAY(F246),'まとめ（登園）'!$2:$2,0)-2),"")</f>
        <v/>
      </c>
      <c r="I246" s="44" t="str">
        <f ca="1">IF(A246&lt;&gt;"",OFFSET('まとめ（降園）'!$B$1,MATCH(CSVフォーム!A246,'まとめ（降園）'!$B:$B,0)-1,MATCH(DAY(F246),'まとめ（降園）'!$2:$2,0)-2),"")</f>
        <v/>
      </c>
    </row>
    <row r="247" spans="1:9" ht="17.399999999999999" customHeight="1" x14ac:dyDescent="0.5">
      <c r="A247" s="33" t="str">
        <f t="array" ref="A247">IFERROR(INDEX('まとめ（登園）'!$B$3:$B$500,INT((ROW(A246)-1)/DAY(EOMONTH(貼り付け用!$B$2&amp;"1日",0)))+1)&amp;"","")</f>
        <v/>
      </c>
      <c r="B247" s="33" t="str">
        <f>IF(A247&lt;&gt;"",VLOOKUP(A247,子どもマスタ!$A$1:$F$301,2,FALSE),"")</f>
        <v/>
      </c>
      <c r="C247" s="34" t="str">
        <f>IF(A247&lt;&gt;"",
TEXT(VALUE(REPLACE(VLOOKUP(A247,子どもマスタ!$A$1:$F$301,5,FALSE),
FIND("(",VLOOKUP(A247,子どもマスタ!$A$1:$F$301,5,FALSE)),
FIND(")",VLOOKUP(A247,子どもマスタ!$A$1:$F$301,5,FALSE))
-FIND("(",VLOOKUP(A247,子どもマスタ!$A$1:$F$301,5,FALSE))+1,"")),"yyyy/mm/dd"),"")</f>
        <v/>
      </c>
      <c r="D247" s="35"/>
      <c r="E247" s="36"/>
      <c r="F247" s="34" t="str">
        <f>IF(A247="","",VALUE(貼り付け用!$B$2&amp;"1日")+MOD(ROW(A246)-1,DAY(EOMONTH(貼り付け用!$B$2&amp;"1日",0))))</f>
        <v/>
      </c>
      <c r="G247" s="34"/>
      <c r="H247" s="44" t="str">
        <f ca="1">IF(A247&lt;&gt;"",OFFSET('まとめ（登園）'!$B$1,MATCH(CSVフォーム!A247,'まとめ（登園）'!$B:$B,0)-1,MATCH(DAY(F247),'まとめ（登園）'!$2:$2,0)-2),"")</f>
        <v/>
      </c>
      <c r="I247" s="44" t="str">
        <f ca="1">IF(A247&lt;&gt;"",OFFSET('まとめ（降園）'!$B$1,MATCH(CSVフォーム!A247,'まとめ（降園）'!$B:$B,0)-1,MATCH(DAY(F247),'まとめ（降園）'!$2:$2,0)-2),"")</f>
        <v/>
      </c>
    </row>
    <row r="248" spans="1:9" ht="17.399999999999999" customHeight="1" x14ac:dyDescent="0.5">
      <c r="A248" s="33" t="str">
        <f t="array" ref="A248">IFERROR(INDEX('まとめ（登園）'!$B$3:$B$500,INT((ROW(A247)-1)/DAY(EOMONTH(貼り付け用!$B$2&amp;"1日",0)))+1)&amp;"","")</f>
        <v/>
      </c>
      <c r="B248" s="33" t="str">
        <f>IF(A248&lt;&gt;"",VLOOKUP(A248,子どもマスタ!$A$1:$F$301,2,FALSE),"")</f>
        <v/>
      </c>
      <c r="C248" s="34" t="str">
        <f>IF(A248&lt;&gt;"",
TEXT(VALUE(REPLACE(VLOOKUP(A248,子どもマスタ!$A$1:$F$301,5,FALSE),
FIND("(",VLOOKUP(A248,子どもマスタ!$A$1:$F$301,5,FALSE)),
FIND(")",VLOOKUP(A248,子どもマスタ!$A$1:$F$301,5,FALSE))
-FIND("(",VLOOKUP(A248,子どもマスタ!$A$1:$F$301,5,FALSE))+1,"")),"yyyy/mm/dd"),"")</f>
        <v/>
      </c>
      <c r="D248" s="35"/>
      <c r="E248" s="36"/>
      <c r="F248" s="34" t="str">
        <f>IF(A248="","",VALUE(貼り付け用!$B$2&amp;"1日")+MOD(ROW(A247)-1,DAY(EOMONTH(貼り付け用!$B$2&amp;"1日",0))))</f>
        <v/>
      </c>
      <c r="G248" s="34"/>
      <c r="H248" s="44" t="str">
        <f ca="1">IF(A248&lt;&gt;"",OFFSET('まとめ（登園）'!$B$1,MATCH(CSVフォーム!A248,'まとめ（登園）'!$B:$B,0)-1,MATCH(DAY(F248),'まとめ（登園）'!$2:$2,0)-2),"")</f>
        <v/>
      </c>
      <c r="I248" s="44" t="str">
        <f ca="1">IF(A248&lt;&gt;"",OFFSET('まとめ（降園）'!$B$1,MATCH(CSVフォーム!A248,'まとめ（降園）'!$B:$B,0)-1,MATCH(DAY(F248),'まとめ（降園）'!$2:$2,0)-2),"")</f>
        <v/>
      </c>
    </row>
    <row r="249" spans="1:9" ht="17.399999999999999" customHeight="1" x14ac:dyDescent="0.5">
      <c r="A249" s="33" t="str">
        <f t="array" ref="A249">IFERROR(INDEX('まとめ（登園）'!$B$3:$B$500,INT((ROW(A248)-1)/DAY(EOMONTH(貼り付け用!$B$2&amp;"1日",0)))+1)&amp;"","")</f>
        <v/>
      </c>
      <c r="B249" s="33" t="str">
        <f>IF(A249&lt;&gt;"",VLOOKUP(A249,子どもマスタ!$A$1:$F$301,2,FALSE),"")</f>
        <v/>
      </c>
      <c r="C249" s="34" t="str">
        <f>IF(A249&lt;&gt;"",
TEXT(VALUE(REPLACE(VLOOKUP(A249,子どもマスタ!$A$1:$F$301,5,FALSE),
FIND("(",VLOOKUP(A249,子どもマスタ!$A$1:$F$301,5,FALSE)),
FIND(")",VLOOKUP(A249,子どもマスタ!$A$1:$F$301,5,FALSE))
-FIND("(",VLOOKUP(A249,子どもマスタ!$A$1:$F$301,5,FALSE))+1,"")),"yyyy/mm/dd"),"")</f>
        <v/>
      </c>
      <c r="D249" s="35"/>
      <c r="E249" s="36"/>
      <c r="F249" s="34" t="str">
        <f>IF(A249="","",VALUE(貼り付け用!$B$2&amp;"1日")+MOD(ROW(A248)-1,DAY(EOMONTH(貼り付け用!$B$2&amp;"1日",0))))</f>
        <v/>
      </c>
      <c r="G249" s="34"/>
      <c r="H249" s="44" t="str">
        <f ca="1">IF(A249&lt;&gt;"",OFFSET('まとめ（登園）'!$B$1,MATCH(CSVフォーム!A249,'まとめ（登園）'!$B:$B,0)-1,MATCH(DAY(F249),'まとめ（登園）'!$2:$2,0)-2),"")</f>
        <v/>
      </c>
      <c r="I249" s="44" t="str">
        <f ca="1">IF(A249&lt;&gt;"",OFFSET('まとめ（降園）'!$B$1,MATCH(CSVフォーム!A249,'まとめ（降園）'!$B:$B,0)-1,MATCH(DAY(F249),'まとめ（降園）'!$2:$2,0)-2),"")</f>
        <v/>
      </c>
    </row>
    <row r="250" spans="1:9" ht="17.399999999999999" customHeight="1" x14ac:dyDescent="0.5">
      <c r="A250" s="33" t="str">
        <f t="array" ref="A250">IFERROR(INDEX('まとめ（登園）'!$B$3:$B$500,INT((ROW(A249)-1)/DAY(EOMONTH(貼り付け用!$B$2&amp;"1日",0)))+1)&amp;"","")</f>
        <v/>
      </c>
      <c r="B250" s="33" t="str">
        <f>IF(A250&lt;&gt;"",VLOOKUP(A250,子どもマスタ!$A$1:$F$301,2,FALSE),"")</f>
        <v/>
      </c>
      <c r="C250" s="34" t="str">
        <f>IF(A250&lt;&gt;"",
TEXT(VALUE(REPLACE(VLOOKUP(A250,子どもマスタ!$A$1:$F$301,5,FALSE),
FIND("(",VLOOKUP(A250,子どもマスタ!$A$1:$F$301,5,FALSE)),
FIND(")",VLOOKUP(A250,子どもマスタ!$A$1:$F$301,5,FALSE))
-FIND("(",VLOOKUP(A250,子どもマスタ!$A$1:$F$301,5,FALSE))+1,"")),"yyyy/mm/dd"),"")</f>
        <v/>
      </c>
      <c r="D250" s="35"/>
      <c r="E250" s="36"/>
      <c r="F250" s="34" t="str">
        <f>IF(A250="","",VALUE(貼り付け用!$B$2&amp;"1日")+MOD(ROW(A249)-1,DAY(EOMONTH(貼り付け用!$B$2&amp;"1日",0))))</f>
        <v/>
      </c>
      <c r="G250" s="34"/>
      <c r="H250" s="44" t="str">
        <f ca="1">IF(A250&lt;&gt;"",OFFSET('まとめ（登園）'!$B$1,MATCH(CSVフォーム!A250,'まとめ（登園）'!$B:$B,0)-1,MATCH(DAY(F250),'まとめ（登園）'!$2:$2,0)-2),"")</f>
        <v/>
      </c>
      <c r="I250" s="44" t="str">
        <f ca="1">IF(A250&lt;&gt;"",OFFSET('まとめ（降園）'!$B$1,MATCH(CSVフォーム!A250,'まとめ（降園）'!$B:$B,0)-1,MATCH(DAY(F250),'まとめ（降園）'!$2:$2,0)-2),"")</f>
        <v/>
      </c>
    </row>
    <row r="251" spans="1:9" ht="17.399999999999999" customHeight="1" x14ac:dyDescent="0.5">
      <c r="A251" s="33" t="str">
        <f t="array" ref="A251">IFERROR(INDEX('まとめ（登園）'!$B$3:$B$500,INT((ROW(A250)-1)/DAY(EOMONTH(貼り付け用!$B$2&amp;"1日",0)))+1)&amp;"","")</f>
        <v/>
      </c>
      <c r="B251" s="33" t="str">
        <f>IF(A251&lt;&gt;"",VLOOKUP(A251,子どもマスタ!$A$1:$F$301,2,FALSE),"")</f>
        <v/>
      </c>
      <c r="C251" s="34" t="str">
        <f>IF(A251&lt;&gt;"",
TEXT(VALUE(REPLACE(VLOOKUP(A251,子どもマスタ!$A$1:$F$301,5,FALSE),
FIND("(",VLOOKUP(A251,子どもマスタ!$A$1:$F$301,5,FALSE)),
FIND(")",VLOOKUP(A251,子どもマスタ!$A$1:$F$301,5,FALSE))
-FIND("(",VLOOKUP(A251,子どもマスタ!$A$1:$F$301,5,FALSE))+1,"")),"yyyy/mm/dd"),"")</f>
        <v/>
      </c>
      <c r="D251" s="35"/>
      <c r="E251" s="36"/>
      <c r="F251" s="34" t="str">
        <f>IF(A251="","",VALUE(貼り付け用!$B$2&amp;"1日")+MOD(ROW(A250)-1,DAY(EOMONTH(貼り付け用!$B$2&amp;"1日",0))))</f>
        <v/>
      </c>
      <c r="G251" s="34"/>
      <c r="H251" s="44" t="str">
        <f ca="1">IF(A251&lt;&gt;"",OFFSET('まとめ（登園）'!$B$1,MATCH(CSVフォーム!A251,'まとめ（登園）'!$B:$B,0)-1,MATCH(DAY(F251),'まとめ（登園）'!$2:$2,0)-2),"")</f>
        <v/>
      </c>
      <c r="I251" s="44" t="str">
        <f ca="1">IF(A251&lt;&gt;"",OFFSET('まとめ（降園）'!$B$1,MATCH(CSVフォーム!A251,'まとめ（降園）'!$B:$B,0)-1,MATCH(DAY(F251),'まとめ（降園）'!$2:$2,0)-2),"")</f>
        <v/>
      </c>
    </row>
    <row r="252" spans="1:9" ht="17.399999999999999" customHeight="1" x14ac:dyDescent="0.5">
      <c r="A252" s="33" t="str">
        <f t="array" ref="A252">IFERROR(INDEX('まとめ（登園）'!$B$3:$B$500,INT((ROW(A251)-1)/DAY(EOMONTH(貼り付け用!$B$2&amp;"1日",0)))+1)&amp;"","")</f>
        <v/>
      </c>
      <c r="B252" s="33" t="str">
        <f>IF(A252&lt;&gt;"",VLOOKUP(A252,子どもマスタ!$A$1:$F$301,2,FALSE),"")</f>
        <v/>
      </c>
      <c r="C252" s="34" t="str">
        <f>IF(A252&lt;&gt;"",
TEXT(VALUE(REPLACE(VLOOKUP(A252,子どもマスタ!$A$1:$F$301,5,FALSE),
FIND("(",VLOOKUP(A252,子どもマスタ!$A$1:$F$301,5,FALSE)),
FIND(")",VLOOKUP(A252,子どもマスタ!$A$1:$F$301,5,FALSE))
-FIND("(",VLOOKUP(A252,子どもマスタ!$A$1:$F$301,5,FALSE))+1,"")),"yyyy/mm/dd"),"")</f>
        <v/>
      </c>
      <c r="D252" s="35"/>
      <c r="E252" s="36"/>
      <c r="F252" s="34" t="str">
        <f>IF(A252="","",VALUE(貼り付け用!$B$2&amp;"1日")+MOD(ROW(A251)-1,DAY(EOMONTH(貼り付け用!$B$2&amp;"1日",0))))</f>
        <v/>
      </c>
      <c r="G252" s="34"/>
      <c r="H252" s="44" t="str">
        <f ca="1">IF(A252&lt;&gt;"",OFFSET('まとめ（登園）'!$B$1,MATCH(CSVフォーム!A252,'まとめ（登園）'!$B:$B,0)-1,MATCH(DAY(F252),'まとめ（登園）'!$2:$2,0)-2),"")</f>
        <v/>
      </c>
      <c r="I252" s="44" t="str">
        <f ca="1">IF(A252&lt;&gt;"",OFFSET('まとめ（降園）'!$B$1,MATCH(CSVフォーム!A252,'まとめ（降園）'!$B:$B,0)-1,MATCH(DAY(F252),'まとめ（降園）'!$2:$2,0)-2),"")</f>
        <v/>
      </c>
    </row>
    <row r="253" spans="1:9" ht="17.399999999999999" customHeight="1" x14ac:dyDescent="0.5">
      <c r="A253" s="33" t="str">
        <f t="array" ref="A253">IFERROR(INDEX('まとめ（登園）'!$B$3:$B$500,INT((ROW(A252)-1)/DAY(EOMONTH(貼り付け用!$B$2&amp;"1日",0)))+1)&amp;"","")</f>
        <v/>
      </c>
      <c r="B253" s="33" t="str">
        <f>IF(A253&lt;&gt;"",VLOOKUP(A253,子どもマスタ!$A$1:$F$301,2,FALSE),"")</f>
        <v/>
      </c>
      <c r="C253" s="34" t="str">
        <f>IF(A253&lt;&gt;"",
TEXT(VALUE(REPLACE(VLOOKUP(A253,子どもマスタ!$A$1:$F$301,5,FALSE),
FIND("(",VLOOKUP(A253,子どもマスタ!$A$1:$F$301,5,FALSE)),
FIND(")",VLOOKUP(A253,子どもマスタ!$A$1:$F$301,5,FALSE))
-FIND("(",VLOOKUP(A253,子どもマスタ!$A$1:$F$301,5,FALSE))+1,"")),"yyyy/mm/dd"),"")</f>
        <v/>
      </c>
      <c r="D253" s="35"/>
      <c r="E253" s="36"/>
      <c r="F253" s="34" t="str">
        <f>IF(A253="","",VALUE(貼り付け用!$B$2&amp;"1日")+MOD(ROW(A252)-1,DAY(EOMONTH(貼り付け用!$B$2&amp;"1日",0))))</f>
        <v/>
      </c>
      <c r="G253" s="34"/>
      <c r="H253" s="44" t="str">
        <f ca="1">IF(A253&lt;&gt;"",OFFSET('まとめ（登園）'!$B$1,MATCH(CSVフォーム!A253,'まとめ（登園）'!$B:$B,0)-1,MATCH(DAY(F253),'まとめ（登園）'!$2:$2,0)-2),"")</f>
        <v/>
      </c>
      <c r="I253" s="44" t="str">
        <f ca="1">IF(A253&lt;&gt;"",OFFSET('まとめ（降園）'!$B$1,MATCH(CSVフォーム!A253,'まとめ（降園）'!$B:$B,0)-1,MATCH(DAY(F253),'まとめ（降園）'!$2:$2,0)-2),"")</f>
        <v/>
      </c>
    </row>
    <row r="254" spans="1:9" ht="17.399999999999999" customHeight="1" x14ac:dyDescent="0.5">
      <c r="A254" s="33" t="str">
        <f t="array" ref="A254">IFERROR(INDEX('まとめ（登園）'!$B$3:$B$500,INT((ROW(A253)-1)/DAY(EOMONTH(貼り付け用!$B$2&amp;"1日",0)))+1)&amp;"","")</f>
        <v/>
      </c>
      <c r="B254" s="33" t="str">
        <f>IF(A254&lt;&gt;"",VLOOKUP(A254,子どもマスタ!$A$1:$F$301,2,FALSE),"")</f>
        <v/>
      </c>
      <c r="C254" s="34" t="str">
        <f>IF(A254&lt;&gt;"",
TEXT(VALUE(REPLACE(VLOOKUP(A254,子どもマスタ!$A$1:$F$301,5,FALSE),
FIND("(",VLOOKUP(A254,子どもマスタ!$A$1:$F$301,5,FALSE)),
FIND(")",VLOOKUP(A254,子どもマスタ!$A$1:$F$301,5,FALSE))
-FIND("(",VLOOKUP(A254,子どもマスタ!$A$1:$F$301,5,FALSE))+1,"")),"yyyy/mm/dd"),"")</f>
        <v/>
      </c>
      <c r="D254" s="35"/>
      <c r="E254" s="36"/>
      <c r="F254" s="34" t="str">
        <f>IF(A254="","",VALUE(貼り付け用!$B$2&amp;"1日")+MOD(ROW(A253)-1,DAY(EOMONTH(貼り付け用!$B$2&amp;"1日",0))))</f>
        <v/>
      </c>
      <c r="G254" s="34"/>
      <c r="H254" s="44" t="str">
        <f ca="1">IF(A254&lt;&gt;"",OFFSET('まとめ（登園）'!$B$1,MATCH(CSVフォーム!A254,'まとめ（登園）'!$B:$B,0)-1,MATCH(DAY(F254),'まとめ（登園）'!$2:$2,0)-2),"")</f>
        <v/>
      </c>
      <c r="I254" s="44" t="str">
        <f ca="1">IF(A254&lt;&gt;"",OFFSET('まとめ（降園）'!$B$1,MATCH(CSVフォーム!A254,'まとめ（降園）'!$B:$B,0)-1,MATCH(DAY(F254),'まとめ（降園）'!$2:$2,0)-2),"")</f>
        <v/>
      </c>
    </row>
    <row r="255" spans="1:9" ht="17.399999999999999" customHeight="1" x14ac:dyDescent="0.5">
      <c r="A255" s="33" t="str">
        <f t="array" ref="A255">IFERROR(INDEX('まとめ（登園）'!$B$3:$B$500,INT((ROW(A254)-1)/DAY(EOMONTH(貼り付け用!$B$2&amp;"1日",0)))+1)&amp;"","")</f>
        <v/>
      </c>
      <c r="B255" s="33" t="str">
        <f>IF(A255&lt;&gt;"",VLOOKUP(A255,子どもマスタ!$A$1:$F$301,2,FALSE),"")</f>
        <v/>
      </c>
      <c r="C255" s="34" t="str">
        <f>IF(A255&lt;&gt;"",
TEXT(VALUE(REPLACE(VLOOKUP(A255,子どもマスタ!$A$1:$F$301,5,FALSE),
FIND("(",VLOOKUP(A255,子どもマスタ!$A$1:$F$301,5,FALSE)),
FIND(")",VLOOKUP(A255,子どもマスタ!$A$1:$F$301,5,FALSE))
-FIND("(",VLOOKUP(A255,子どもマスタ!$A$1:$F$301,5,FALSE))+1,"")),"yyyy/mm/dd"),"")</f>
        <v/>
      </c>
      <c r="D255" s="35"/>
      <c r="E255" s="36"/>
      <c r="F255" s="34" t="str">
        <f>IF(A255="","",VALUE(貼り付け用!$B$2&amp;"1日")+MOD(ROW(A254)-1,DAY(EOMONTH(貼り付け用!$B$2&amp;"1日",0))))</f>
        <v/>
      </c>
      <c r="G255" s="34"/>
      <c r="H255" s="44" t="str">
        <f ca="1">IF(A255&lt;&gt;"",OFFSET('まとめ（登園）'!$B$1,MATCH(CSVフォーム!A255,'まとめ（登園）'!$B:$B,0)-1,MATCH(DAY(F255),'まとめ（登園）'!$2:$2,0)-2),"")</f>
        <v/>
      </c>
      <c r="I255" s="44" t="str">
        <f ca="1">IF(A255&lt;&gt;"",OFFSET('まとめ（降園）'!$B$1,MATCH(CSVフォーム!A255,'まとめ（降園）'!$B:$B,0)-1,MATCH(DAY(F255),'まとめ（降園）'!$2:$2,0)-2),"")</f>
        <v/>
      </c>
    </row>
    <row r="256" spans="1:9" ht="17.399999999999999" customHeight="1" x14ac:dyDescent="0.5">
      <c r="A256" s="33" t="str">
        <f t="array" ref="A256">IFERROR(INDEX('まとめ（登園）'!$B$3:$B$500,INT((ROW(A255)-1)/DAY(EOMONTH(貼り付け用!$B$2&amp;"1日",0)))+1)&amp;"","")</f>
        <v/>
      </c>
      <c r="B256" s="33" t="str">
        <f>IF(A256&lt;&gt;"",VLOOKUP(A256,子どもマスタ!$A$1:$F$301,2,FALSE),"")</f>
        <v/>
      </c>
      <c r="C256" s="34" t="str">
        <f>IF(A256&lt;&gt;"",
TEXT(VALUE(REPLACE(VLOOKUP(A256,子どもマスタ!$A$1:$F$301,5,FALSE),
FIND("(",VLOOKUP(A256,子どもマスタ!$A$1:$F$301,5,FALSE)),
FIND(")",VLOOKUP(A256,子どもマスタ!$A$1:$F$301,5,FALSE))
-FIND("(",VLOOKUP(A256,子どもマスタ!$A$1:$F$301,5,FALSE))+1,"")),"yyyy/mm/dd"),"")</f>
        <v/>
      </c>
      <c r="D256" s="35"/>
      <c r="E256" s="36"/>
      <c r="F256" s="34" t="str">
        <f>IF(A256="","",VALUE(貼り付け用!$B$2&amp;"1日")+MOD(ROW(A255)-1,DAY(EOMONTH(貼り付け用!$B$2&amp;"1日",0))))</f>
        <v/>
      </c>
      <c r="G256" s="34"/>
      <c r="H256" s="44" t="str">
        <f ca="1">IF(A256&lt;&gt;"",OFFSET('まとめ（登園）'!$B$1,MATCH(CSVフォーム!A256,'まとめ（登園）'!$B:$B,0)-1,MATCH(DAY(F256),'まとめ（登園）'!$2:$2,0)-2),"")</f>
        <v/>
      </c>
      <c r="I256" s="44" t="str">
        <f ca="1">IF(A256&lt;&gt;"",OFFSET('まとめ（降園）'!$B$1,MATCH(CSVフォーム!A256,'まとめ（降園）'!$B:$B,0)-1,MATCH(DAY(F256),'まとめ（降園）'!$2:$2,0)-2),"")</f>
        <v/>
      </c>
    </row>
    <row r="257" spans="1:9" ht="17.399999999999999" customHeight="1" x14ac:dyDescent="0.5">
      <c r="A257" s="33" t="str">
        <f t="array" ref="A257">IFERROR(INDEX('まとめ（登園）'!$B$3:$B$500,INT((ROW(A256)-1)/DAY(EOMONTH(貼り付け用!$B$2&amp;"1日",0)))+1)&amp;"","")</f>
        <v/>
      </c>
      <c r="B257" s="33" t="str">
        <f>IF(A257&lt;&gt;"",VLOOKUP(A257,子どもマスタ!$A$1:$F$301,2,FALSE),"")</f>
        <v/>
      </c>
      <c r="C257" s="34" t="str">
        <f>IF(A257&lt;&gt;"",
TEXT(VALUE(REPLACE(VLOOKUP(A257,子どもマスタ!$A$1:$F$301,5,FALSE),
FIND("(",VLOOKUP(A257,子どもマスタ!$A$1:$F$301,5,FALSE)),
FIND(")",VLOOKUP(A257,子どもマスタ!$A$1:$F$301,5,FALSE))
-FIND("(",VLOOKUP(A257,子どもマスタ!$A$1:$F$301,5,FALSE))+1,"")),"yyyy/mm/dd"),"")</f>
        <v/>
      </c>
      <c r="D257" s="35"/>
      <c r="E257" s="36"/>
      <c r="F257" s="34" t="str">
        <f>IF(A257="","",VALUE(貼り付け用!$B$2&amp;"1日")+MOD(ROW(A256)-1,DAY(EOMONTH(貼り付け用!$B$2&amp;"1日",0))))</f>
        <v/>
      </c>
      <c r="G257" s="34"/>
      <c r="H257" s="44" t="str">
        <f ca="1">IF(A257&lt;&gt;"",OFFSET('まとめ（登園）'!$B$1,MATCH(CSVフォーム!A257,'まとめ（登園）'!$B:$B,0)-1,MATCH(DAY(F257),'まとめ（登園）'!$2:$2,0)-2),"")</f>
        <v/>
      </c>
      <c r="I257" s="44" t="str">
        <f ca="1">IF(A257&lt;&gt;"",OFFSET('まとめ（降園）'!$B$1,MATCH(CSVフォーム!A257,'まとめ（降園）'!$B:$B,0)-1,MATCH(DAY(F257),'まとめ（降園）'!$2:$2,0)-2),"")</f>
        <v/>
      </c>
    </row>
    <row r="258" spans="1:9" ht="17.399999999999999" customHeight="1" x14ac:dyDescent="0.5">
      <c r="A258" s="33" t="str">
        <f t="array" ref="A258">IFERROR(INDEX('まとめ（登園）'!$B$3:$B$500,INT((ROW(A257)-1)/DAY(EOMONTH(貼り付け用!$B$2&amp;"1日",0)))+1)&amp;"","")</f>
        <v/>
      </c>
      <c r="B258" s="33" t="str">
        <f>IF(A258&lt;&gt;"",VLOOKUP(A258,子どもマスタ!$A$1:$F$301,2,FALSE),"")</f>
        <v/>
      </c>
      <c r="C258" s="34" t="str">
        <f>IF(A258&lt;&gt;"",
TEXT(VALUE(REPLACE(VLOOKUP(A258,子どもマスタ!$A$1:$F$301,5,FALSE),
FIND("(",VLOOKUP(A258,子どもマスタ!$A$1:$F$301,5,FALSE)),
FIND(")",VLOOKUP(A258,子どもマスタ!$A$1:$F$301,5,FALSE))
-FIND("(",VLOOKUP(A258,子どもマスタ!$A$1:$F$301,5,FALSE))+1,"")),"yyyy/mm/dd"),"")</f>
        <v/>
      </c>
      <c r="D258" s="35"/>
      <c r="E258" s="36"/>
      <c r="F258" s="34" t="str">
        <f>IF(A258="","",VALUE(貼り付け用!$B$2&amp;"1日")+MOD(ROW(A257)-1,DAY(EOMONTH(貼り付け用!$B$2&amp;"1日",0))))</f>
        <v/>
      </c>
      <c r="G258" s="34"/>
      <c r="H258" s="44" t="str">
        <f ca="1">IF(A258&lt;&gt;"",OFFSET('まとめ（登園）'!$B$1,MATCH(CSVフォーム!A258,'まとめ（登園）'!$B:$B,0)-1,MATCH(DAY(F258),'まとめ（登園）'!$2:$2,0)-2),"")</f>
        <v/>
      </c>
      <c r="I258" s="44" t="str">
        <f ca="1">IF(A258&lt;&gt;"",OFFSET('まとめ（降園）'!$B$1,MATCH(CSVフォーム!A258,'まとめ（降園）'!$B:$B,0)-1,MATCH(DAY(F258),'まとめ（降園）'!$2:$2,0)-2),"")</f>
        <v/>
      </c>
    </row>
    <row r="259" spans="1:9" ht="17.399999999999999" customHeight="1" x14ac:dyDescent="0.5">
      <c r="A259" s="33" t="str">
        <f t="array" ref="A259">IFERROR(INDEX('まとめ（登園）'!$B$3:$B$500,INT((ROW(A258)-1)/DAY(EOMONTH(貼り付け用!$B$2&amp;"1日",0)))+1)&amp;"","")</f>
        <v/>
      </c>
      <c r="B259" s="33" t="str">
        <f>IF(A259&lt;&gt;"",VLOOKUP(A259,子どもマスタ!$A$1:$F$301,2,FALSE),"")</f>
        <v/>
      </c>
      <c r="C259" s="34" t="str">
        <f>IF(A259&lt;&gt;"",
TEXT(VALUE(REPLACE(VLOOKUP(A259,子どもマスタ!$A$1:$F$301,5,FALSE),
FIND("(",VLOOKUP(A259,子どもマスタ!$A$1:$F$301,5,FALSE)),
FIND(")",VLOOKUP(A259,子どもマスタ!$A$1:$F$301,5,FALSE))
-FIND("(",VLOOKUP(A259,子どもマスタ!$A$1:$F$301,5,FALSE))+1,"")),"yyyy/mm/dd"),"")</f>
        <v/>
      </c>
      <c r="D259" s="35"/>
      <c r="E259" s="36"/>
      <c r="F259" s="34" t="str">
        <f>IF(A259="","",VALUE(貼り付け用!$B$2&amp;"1日")+MOD(ROW(A258)-1,DAY(EOMONTH(貼り付け用!$B$2&amp;"1日",0))))</f>
        <v/>
      </c>
      <c r="G259" s="34"/>
      <c r="H259" s="44" t="str">
        <f ca="1">IF(A259&lt;&gt;"",OFFSET('まとめ（登園）'!$B$1,MATCH(CSVフォーム!A259,'まとめ（登園）'!$B:$B,0)-1,MATCH(DAY(F259),'まとめ（登園）'!$2:$2,0)-2),"")</f>
        <v/>
      </c>
      <c r="I259" s="44" t="str">
        <f ca="1">IF(A259&lt;&gt;"",OFFSET('まとめ（降園）'!$B$1,MATCH(CSVフォーム!A259,'まとめ（降園）'!$B:$B,0)-1,MATCH(DAY(F259),'まとめ（降園）'!$2:$2,0)-2),"")</f>
        <v/>
      </c>
    </row>
    <row r="260" spans="1:9" ht="17.399999999999999" customHeight="1" x14ac:dyDescent="0.5">
      <c r="A260" s="33" t="str">
        <f t="array" ref="A260">IFERROR(INDEX('まとめ（登園）'!$B$3:$B$500,INT((ROW(A259)-1)/DAY(EOMONTH(貼り付け用!$B$2&amp;"1日",0)))+1)&amp;"","")</f>
        <v/>
      </c>
      <c r="B260" s="33" t="str">
        <f>IF(A260&lt;&gt;"",VLOOKUP(A260,子どもマスタ!$A$1:$F$301,2,FALSE),"")</f>
        <v/>
      </c>
      <c r="C260" s="34" t="str">
        <f>IF(A260&lt;&gt;"",
TEXT(VALUE(REPLACE(VLOOKUP(A260,子どもマスタ!$A$1:$F$301,5,FALSE),
FIND("(",VLOOKUP(A260,子どもマスタ!$A$1:$F$301,5,FALSE)),
FIND(")",VLOOKUP(A260,子どもマスタ!$A$1:$F$301,5,FALSE))
-FIND("(",VLOOKUP(A260,子どもマスタ!$A$1:$F$301,5,FALSE))+1,"")),"yyyy/mm/dd"),"")</f>
        <v/>
      </c>
      <c r="D260" s="35"/>
      <c r="E260" s="36"/>
      <c r="F260" s="34" t="str">
        <f>IF(A260="","",VALUE(貼り付け用!$B$2&amp;"1日")+MOD(ROW(A259)-1,DAY(EOMONTH(貼り付け用!$B$2&amp;"1日",0))))</f>
        <v/>
      </c>
      <c r="G260" s="34"/>
      <c r="H260" s="44" t="str">
        <f ca="1">IF(A260&lt;&gt;"",OFFSET('まとめ（登園）'!$B$1,MATCH(CSVフォーム!A260,'まとめ（登園）'!$B:$B,0)-1,MATCH(DAY(F260),'まとめ（登園）'!$2:$2,0)-2),"")</f>
        <v/>
      </c>
      <c r="I260" s="44" t="str">
        <f ca="1">IF(A260&lt;&gt;"",OFFSET('まとめ（降園）'!$B$1,MATCH(CSVフォーム!A260,'まとめ（降園）'!$B:$B,0)-1,MATCH(DAY(F260),'まとめ（降園）'!$2:$2,0)-2),"")</f>
        <v/>
      </c>
    </row>
    <row r="261" spans="1:9" ht="17.399999999999999" customHeight="1" x14ac:dyDescent="0.5">
      <c r="A261" s="33" t="str">
        <f t="array" ref="A261">IFERROR(INDEX('まとめ（登園）'!$B$3:$B$500,INT((ROW(A260)-1)/DAY(EOMONTH(貼り付け用!$B$2&amp;"1日",0)))+1)&amp;"","")</f>
        <v/>
      </c>
      <c r="B261" s="33" t="str">
        <f>IF(A261&lt;&gt;"",VLOOKUP(A261,子どもマスタ!$A$1:$F$301,2,FALSE),"")</f>
        <v/>
      </c>
      <c r="C261" s="34" t="str">
        <f>IF(A261&lt;&gt;"",
TEXT(VALUE(REPLACE(VLOOKUP(A261,子どもマスタ!$A$1:$F$301,5,FALSE),
FIND("(",VLOOKUP(A261,子どもマスタ!$A$1:$F$301,5,FALSE)),
FIND(")",VLOOKUP(A261,子どもマスタ!$A$1:$F$301,5,FALSE))
-FIND("(",VLOOKUP(A261,子どもマスタ!$A$1:$F$301,5,FALSE))+1,"")),"yyyy/mm/dd"),"")</f>
        <v/>
      </c>
      <c r="D261" s="35"/>
      <c r="E261" s="36"/>
      <c r="F261" s="34" t="str">
        <f>IF(A261="","",VALUE(貼り付け用!$B$2&amp;"1日")+MOD(ROW(A260)-1,DAY(EOMONTH(貼り付け用!$B$2&amp;"1日",0))))</f>
        <v/>
      </c>
      <c r="G261" s="34"/>
      <c r="H261" s="44" t="str">
        <f ca="1">IF(A261&lt;&gt;"",OFFSET('まとめ（登園）'!$B$1,MATCH(CSVフォーム!A261,'まとめ（登園）'!$B:$B,0)-1,MATCH(DAY(F261),'まとめ（登園）'!$2:$2,0)-2),"")</f>
        <v/>
      </c>
      <c r="I261" s="44" t="str">
        <f ca="1">IF(A261&lt;&gt;"",OFFSET('まとめ（降園）'!$B$1,MATCH(CSVフォーム!A261,'まとめ（降園）'!$B:$B,0)-1,MATCH(DAY(F261),'まとめ（降園）'!$2:$2,0)-2),"")</f>
        <v/>
      </c>
    </row>
    <row r="262" spans="1:9" ht="17.399999999999999" customHeight="1" x14ac:dyDescent="0.5">
      <c r="A262" s="33" t="str">
        <f t="array" ref="A262">IFERROR(INDEX('まとめ（登園）'!$B$3:$B$500,INT((ROW(A261)-1)/DAY(EOMONTH(貼り付け用!$B$2&amp;"1日",0)))+1)&amp;"","")</f>
        <v/>
      </c>
      <c r="B262" s="33" t="str">
        <f>IF(A262&lt;&gt;"",VLOOKUP(A262,子どもマスタ!$A$1:$F$301,2,FALSE),"")</f>
        <v/>
      </c>
      <c r="C262" s="34" t="str">
        <f>IF(A262&lt;&gt;"",
TEXT(VALUE(REPLACE(VLOOKUP(A262,子どもマスタ!$A$1:$F$301,5,FALSE),
FIND("(",VLOOKUP(A262,子どもマスタ!$A$1:$F$301,5,FALSE)),
FIND(")",VLOOKUP(A262,子どもマスタ!$A$1:$F$301,5,FALSE))
-FIND("(",VLOOKUP(A262,子どもマスタ!$A$1:$F$301,5,FALSE))+1,"")),"yyyy/mm/dd"),"")</f>
        <v/>
      </c>
      <c r="D262" s="35"/>
      <c r="E262" s="36"/>
      <c r="F262" s="34" t="str">
        <f>IF(A262="","",VALUE(貼り付け用!$B$2&amp;"1日")+MOD(ROW(A261)-1,DAY(EOMONTH(貼り付け用!$B$2&amp;"1日",0))))</f>
        <v/>
      </c>
      <c r="G262" s="34"/>
      <c r="H262" s="44" t="str">
        <f ca="1">IF(A262&lt;&gt;"",OFFSET('まとめ（登園）'!$B$1,MATCH(CSVフォーム!A262,'まとめ（登園）'!$B:$B,0)-1,MATCH(DAY(F262),'まとめ（登園）'!$2:$2,0)-2),"")</f>
        <v/>
      </c>
      <c r="I262" s="44" t="str">
        <f ca="1">IF(A262&lt;&gt;"",OFFSET('まとめ（降園）'!$B$1,MATCH(CSVフォーム!A262,'まとめ（降園）'!$B:$B,0)-1,MATCH(DAY(F262),'まとめ（降園）'!$2:$2,0)-2),"")</f>
        <v/>
      </c>
    </row>
    <row r="263" spans="1:9" ht="17.399999999999999" customHeight="1" x14ac:dyDescent="0.5">
      <c r="A263" s="33" t="str">
        <f t="array" ref="A263">IFERROR(INDEX('まとめ（登園）'!$B$3:$B$500,INT((ROW(A262)-1)/DAY(EOMONTH(貼り付け用!$B$2&amp;"1日",0)))+1)&amp;"","")</f>
        <v/>
      </c>
      <c r="B263" s="33" t="str">
        <f>IF(A263&lt;&gt;"",VLOOKUP(A263,子どもマスタ!$A$1:$F$301,2,FALSE),"")</f>
        <v/>
      </c>
      <c r="C263" s="34" t="str">
        <f>IF(A263&lt;&gt;"",
TEXT(VALUE(REPLACE(VLOOKUP(A263,子どもマスタ!$A$1:$F$301,5,FALSE),
FIND("(",VLOOKUP(A263,子どもマスタ!$A$1:$F$301,5,FALSE)),
FIND(")",VLOOKUP(A263,子どもマスタ!$A$1:$F$301,5,FALSE))
-FIND("(",VLOOKUP(A263,子どもマスタ!$A$1:$F$301,5,FALSE))+1,"")),"yyyy/mm/dd"),"")</f>
        <v/>
      </c>
      <c r="D263" s="35"/>
      <c r="E263" s="36"/>
      <c r="F263" s="34" t="str">
        <f>IF(A263="","",VALUE(貼り付け用!$B$2&amp;"1日")+MOD(ROW(A262)-1,DAY(EOMONTH(貼り付け用!$B$2&amp;"1日",0))))</f>
        <v/>
      </c>
      <c r="G263" s="34"/>
      <c r="H263" s="44" t="str">
        <f ca="1">IF(A263&lt;&gt;"",OFFSET('まとめ（登園）'!$B$1,MATCH(CSVフォーム!A263,'まとめ（登園）'!$B:$B,0)-1,MATCH(DAY(F263),'まとめ（登園）'!$2:$2,0)-2),"")</f>
        <v/>
      </c>
      <c r="I263" s="44" t="str">
        <f ca="1">IF(A263&lt;&gt;"",OFFSET('まとめ（降園）'!$B$1,MATCH(CSVフォーム!A263,'まとめ（降園）'!$B:$B,0)-1,MATCH(DAY(F263),'まとめ（降園）'!$2:$2,0)-2),"")</f>
        <v/>
      </c>
    </row>
    <row r="264" spans="1:9" ht="17.399999999999999" customHeight="1" x14ac:dyDescent="0.5">
      <c r="A264" s="33" t="str">
        <f t="array" ref="A264">IFERROR(INDEX('まとめ（登園）'!$B$3:$B$500,INT((ROW(A263)-1)/DAY(EOMONTH(貼り付け用!$B$2&amp;"1日",0)))+1)&amp;"","")</f>
        <v/>
      </c>
      <c r="B264" s="33" t="str">
        <f>IF(A264&lt;&gt;"",VLOOKUP(A264,子どもマスタ!$A$1:$F$301,2,FALSE),"")</f>
        <v/>
      </c>
      <c r="C264" s="34" t="str">
        <f>IF(A264&lt;&gt;"",
TEXT(VALUE(REPLACE(VLOOKUP(A264,子どもマスタ!$A$1:$F$301,5,FALSE),
FIND("(",VLOOKUP(A264,子どもマスタ!$A$1:$F$301,5,FALSE)),
FIND(")",VLOOKUP(A264,子どもマスタ!$A$1:$F$301,5,FALSE))
-FIND("(",VLOOKUP(A264,子どもマスタ!$A$1:$F$301,5,FALSE))+1,"")),"yyyy/mm/dd"),"")</f>
        <v/>
      </c>
      <c r="D264" s="35"/>
      <c r="E264" s="36"/>
      <c r="F264" s="34" t="str">
        <f>IF(A264="","",VALUE(貼り付け用!$B$2&amp;"1日")+MOD(ROW(A263)-1,DAY(EOMONTH(貼り付け用!$B$2&amp;"1日",0))))</f>
        <v/>
      </c>
      <c r="G264" s="34"/>
      <c r="H264" s="44" t="str">
        <f ca="1">IF(A264&lt;&gt;"",OFFSET('まとめ（登園）'!$B$1,MATCH(CSVフォーム!A264,'まとめ（登園）'!$B:$B,0)-1,MATCH(DAY(F264),'まとめ（登園）'!$2:$2,0)-2),"")</f>
        <v/>
      </c>
      <c r="I264" s="44" t="str">
        <f ca="1">IF(A264&lt;&gt;"",OFFSET('まとめ（降園）'!$B$1,MATCH(CSVフォーム!A264,'まとめ（降園）'!$B:$B,0)-1,MATCH(DAY(F264),'まとめ（降園）'!$2:$2,0)-2),"")</f>
        <v/>
      </c>
    </row>
    <row r="265" spans="1:9" ht="17.399999999999999" customHeight="1" x14ac:dyDescent="0.5">
      <c r="A265" s="33" t="str">
        <f t="array" ref="A265">IFERROR(INDEX('まとめ（登園）'!$B$3:$B$500,INT((ROW(A264)-1)/DAY(EOMONTH(貼り付け用!$B$2&amp;"1日",0)))+1)&amp;"","")</f>
        <v/>
      </c>
      <c r="B265" s="33" t="str">
        <f>IF(A265&lt;&gt;"",VLOOKUP(A265,子どもマスタ!$A$1:$F$301,2,FALSE),"")</f>
        <v/>
      </c>
      <c r="C265" s="34" t="str">
        <f>IF(A265&lt;&gt;"",
TEXT(VALUE(REPLACE(VLOOKUP(A265,子どもマスタ!$A$1:$F$301,5,FALSE),
FIND("(",VLOOKUP(A265,子どもマスタ!$A$1:$F$301,5,FALSE)),
FIND(")",VLOOKUP(A265,子どもマスタ!$A$1:$F$301,5,FALSE))
-FIND("(",VLOOKUP(A265,子どもマスタ!$A$1:$F$301,5,FALSE))+1,"")),"yyyy/mm/dd"),"")</f>
        <v/>
      </c>
      <c r="D265" s="35"/>
      <c r="E265" s="36"/>
      <c r="F265" s="34" t="str">
        <f>IF(A265="","",VALUE(貼り付け用!$B$2&amp;"1日")+MOD(ROW(A264)-1,DAY(EOMONTH(貼り付け用!$B$2&amp;"1日",0))))</f>
        <v/>
      </c>
      <c r="G265" s="34"/>
      <c r="H265" s="44" t="str">
        <f ca="1">IF(A265&lt;&gt;"",OFFSET('まとめ（登園）'!$B$1,MATCH(CSVフォーム!A265,'まとめ（登園）'!$B:$B,0)-1,MATCH(DAY(F265),'まとめ（登園）'!$2:$2,0)-2),"")</f>
        <v/>
      </c>
      <c r="I265" s="44" t="str">
        <f ca="1">IF(A265&lt;&gt;"",OFFSET('まとめ（降園）'!$B$1,MATCH(CSVフォーム!A265,'まとめ（降園）'!$B:$B,0)-1,MATCH(DAY(F265),'まとめ（降園）'!$2:$2,0)-2),"")</f>
        <v/>
      </c>
    </row>
    <row r="266" spans="1:9" ht="17.399999999999999" customHeight="1" x14ac:dyDescent="0.5">
      <c r="A266" s="33" t="str">
        <f t="array" ref="A266">IFERROR(INDEX('まとめ（登園）'!$B$3:$B$500,INT((ROW(A265)-1)/DAY(EOMONTH(貼り付け用!$B$2&amp;"1日",0)))+1)&amp;"","")</f>
        <v/>
      </c>
      <c r="B266" s="33" t="str">
        <f>IF(A266&lt;&gt;"",VLOOKUP(A266,子どもマスタ!$A$1:$F$301,2,FALSE),"")</f>
        <v/>
      </c>
      <c r="C266" s="34" t="str">
        <f>IF(A266&lt;&gt;"",
TEXT(VALUE(REPLACE(VLOOKUP(A266,子どもマスタ!$A$1:$F$301,5,FALSE),
FIND("(",VLOOKUP(A266,子どもマスタ!$A$1:$F$301,5,FALSE)),
FIND(")",VLOOKUP(A266,子どもマスタ!$A$1:$F$301,5,FALSE))
-FIND("(",VLOOKUP(A266,子どもマスタ!$A$1:$F$301,5,FALSE))+1,"")),"yyyy/mm/dd"),"")</f>
        <v/>
      </c>
      <c r="D266" s="35"/>
      <c r="E266" s="36"/>
      <c r="F266" s="34" t="str">
        <f>IF(A266="","",VALUE(貼り付け用!$B$2&amp;"1日")+MOD(ROW(A265)-1,DAY(EOMONTH(貼り付け用!$B$2&amp;"1日",0))))</f>
        <v/>
      </c>
      <c r="G266" s="34"/>
      <c r="H266" s="44" t="str">
        <f ca="1">IF(A266&lt;&gt;"",OFFSET('まとめ（登園）'!$B$1,MATCH(CSVフォーム!A266,'まとめ（登園）'!$B:$B,0)-1,MATCH(DAY(F266),'まとめ（登園）'!$2:$2,0)-2),"")</f>
        <v/>
      </c>
      <c r="I266" s="44" t="str">
        <f ca="1">IF(A266&lt;&gt;"",OFFSET('まとめ（降園）'!$B$1,MATCH(CSVフォーム!A266,'まとめ（降園）'!$B:$B,0)-1,MATCH(DAY(F266),'まとめ（降園）'!$2:$2,0)-2),"")</f>
        <v/>
      </c>
    </row>
    <row r="267" spans="1:9" ht="17.399999999999999" customHeight="1" x14ac:dyDescent="0.5">
      <c r="A267" s="33" t="str">
        <f t="array" ref="A267">IFERROR(INDEX('まとめ（登園）'!$B$3:$B$500,INT((ROW(A266)-1)/DAY(EOMONTH(貼り付け用!$B$2&amp;"1日",0)))+1)&amp;"","")</f>
        <v/>
      </c>
      <c r="B267" s="33" t="str">
        <f>IF(A267&lt;&gt;"",VLOOKUP(A267,子どもマスタ!$A$1:$F$301,2,FALSE),"")</f>
        <v/>
      </c>
      <c r="C267" s="34" t="str">
        <f>IF(A267&lt;&gt;"",
TEXT(VALUE(REPLACE(VLOOKUP(A267,子どもマスタ!$A$1:$F$301,5,FALSE),
FIND("(",VLOOKUP(A267,子どもマスタ!$A$1:$F$301,5,FALSE)),
FIND(")",VLOOKUP(A267,子どもマスタ!$A$1:$F$301,5,FALSE))
-FIND("(",VLOOKUP(A267,子どもマスタ!$A$1:$F$301,5,FALSE))+1,"")),"yyyy/mm/dd"),"")</f>
        <v/>
      </c>
      <c r="D267" s="35"/>
      <c r="E267" s="36"/>
      <c r="F267" s="34" t="str">
        <f>IF(A267="","",VALUE(貼り付け用!$B$2&amp;"1日")+MOD(ROW(A266)-1,DAY(EOMONTH(貼り付け用!$B$2&amp;"1日",0))))</f>
        <v/>
      </c>
      <c r="G267" s="34"/>
      <c r="H267" s="44" t="str">
        <f ca="1">IF(A267&lt;&gt;"",OFFSET('まとめ（登園）'!$B$1,MATCH(CSVフォーム!A267,'まとめ（登園）'!$B:$B,0)-1,MATCH(DAY(F267),'まとめ（登園）'!$2:$2,0)-2),"")</f>
        <v/>
      </c>
      <c r="I267" s="44" t="str">
        <f ca="1">IF(A267&lt;&gt;"",OFFSET('まとめ（降園）'!$B$1,MATCH(CSVフォーム!A267,'まとめ（降園）'!$B:$B,0)-1,MATCH(DAY(F267),'まとめ（降園）'!$2:$2,0)-2),"")</f>
        <v/>
      </c>
    </row>
    <row r="268" spans="1:9" ht="17.399999999999999" customHeight="1" x14ac:dyDescent="0.5">
      <c r="A268" s="33" t="str">
        <f t="array" ref="A268">IFERROR(INDEX('まとめ（登園）'!$B$3:$B$500,INT((ROW(A267)-1)/DAY(EOMONTH(貼り付け用!$B$2&amp;"1日",0)))+1)&amp;"","")</f>
        <v/>
      </c>
      <c r="B268" s="33" t="str">
        <f>IF(A268&lt;&gt;"",VLOOKUP(A268,子どもマスタ!$A$1:$F$301,2,FALSE),"")</f>
        <v/>
      </c>
      <c r="C268" s="34" t="str">
        <f>IF(A268&lt;&gt;"",
TEXT(VALUE(REPLACE(VLOOKUP(A268,子どもマスタ!$A$1:$F$301,5,FALSE),
FIND("(",VLOOKUP(A268,子どもマスタ!$A$1:$F$301,5,FALSE)),
FIND(")",VLOOKUP(A268,子どもマスタ!$A$1:$F$301,5,FALSE))
-FIND("(",VLOOKUP(A268,子どもマスタ!$A$1:$F$301,5,FALSE))+1,"")),"yyyy/mm/dd"),"")</f>
        <v/>
      </c>
      <c r="D268" s="35"/>
      <c r="E268" s="36"/>
      <c r="F268" s="34" t="str">
        <f>IF(A268="","",VALUE(貼り付け用!$B$2&amp;"1日")+MOD(ROW(A267)-1,DAY(EOMONTH(貼り付け用!$B$2&amp;"1日",0))))</f>
        <v/>
      </c>
      <c r="G268" s="34"/>
      <c r="H268" s="44" t="str">
        <f ca="1">IF(A268&lt;&gt;"",OFFSET('まとめ（登園）'!$B$1,MATCH(CSVフォーム!A268,'まとめ（登園）'!$B:$B,0)-1,MATCH(DAY(F268),'まとめ（登園）'!$2:$2,0)-2),"")</f>
        <v/>
      </c>
      <c r="I268" s="44" t="str">
        <f ca="1">IF(A268&lt;&gt;"",OFFSET('まとめ（降園）'!$B$1,MATCH(CSVフォーム!A268,'まとめ（降園）'!$B:$B,0)-1,MATCH(DAY(F268),'まとめ（降園）'!$2:$2,0)-2),"")</f>
        <v/>
      </c>
    </row>
    <row r="269" spans="1:9" ht="17.399999999999999" customHeight="1" x14ac:dyDescent="0.5">
      <c r="A269" s="33" t="str">
        <f t="array" ref="A269">IFERROR(INDEX('まとめ（登園）'!$B$3:$B$500,INT((ROW(A268)-1)/DAY(EOMONTH(貼り付け用!$B$2&amp;"1日",0)))+1)&amp;"","")</f>
        <v/>
      </c>
      <c r="B269" s="33" t="str">
        <f>IF(A269&lt;&gt;"",VLOOKUP(A269,子どもマスタ!$A$1:$F$301,2,FALSE),"")</f>
        <v/>
      </c>
      <c r="C269" s="34" t="str">
        <f>IF(A269&lt;&gt;"",
TEXT(VALUE(REPLACE(VLOOKUP(A269,子どもマスタ!$A$1:$F$301,5,FALSE),
FIND("(",VLOOKUP(A269,子どもマスタ!$A$1:$F$301,5,FALSE)),
FIND(")",VLOOKUP(A269,子どもマスタ!$A$1:$F$301,5,FALSE))
-FIND("(",VLOOKUP(A269,子どもマスタ!$A$1:$F$301,5,FALSE))+1,"")),"yyyy/mm/dd"),"")</f>
        <v/>
      </c>
      <c r="D269" s="35"/>
      <c r="E269" s="36"/>
      <c r="F269" s="34" t="str">
        <f>IF(A269="","",VALUE(貼り付け用!$B$2&amp;"1日")+MOD(ROW(A268)-1,DAY(EOMONTH(貼り付け用!$B$2&amp;"1日",0))))</f>
        <v/>
      </c>
      <c r="G269" s="34"/>
      <c r="H269" s="44" t="str">
        <f ca="1">IF(A269&lt;&gt;"",OFFSET('まとめ（登園）'!$B$1,MATCH(CSVフォーム!A269,'まとめ（登園）'!$B:$B,0)-1,MATCH(DAY(F269),'まとめ（登園）'!$2:$2,0)-2),"")</f>
        <v/>
      </c>
      <c r="I269" s="44" t="str">
        <f ca="1">IF(A269&lt;&gt;"",OFFSET('まとめ（降園）'!$B$1,MATCH(CSVフォーム!A269,'まとめ（降園）'!$B:$B,0)-1,MATCH(DAY(F269),'まとめ（降園）'!$2:$2,0)-2),"")</f>
        <v/>
      </c>
    </row>
    <row r="270" spans="1:9" ht="17.399999999999999" customHeight="1" x14ac:dyDescent="0.5">
      <c r="A270" s="33" t="str">
        <f t="array" ref="A270">IFERROR(INDEX('まとめ（登園）'!$B$3:$B$500,INT((ROW(A269)-1)/DAY(EOMONTH(貼り付け用!$B$2&amp;"1日",0)))+1)&amp;"","")</f>
        <v/>
      </c>
      <c r="B270" s="33" t="str">
        <f>IF(A270&lt;&gt;"",VLOOKUP(A270,子どもマスタ!$A$1:$F$301,2,FALSE),"")</f>
        <v/>
      </c>
      <c r="C270" s="34" t="str">
        <f>IF(A270&lt;&gt;"",
TEXT(VALUE(REPLACE(VLOOKUP(A270,子どもマスタ!$A$1:$F$301,5,FALSE),
FIND("(",VLOOKUP(A270,子どもマスタ!$A$1:$F$301,5,FALSE)),
FIND(")",VLOOKUP(A270,子どもマスタ!$A$1:$F$301,5,FALSE))
-FIND("(",VLOOKUP(A270,子どもマスタ!$A$1:$F$301,5,FALSE))+1,"")),"yyyy/mm/dd"),"")</f>
        <v/>
      </c>
      <c r="D270" s="35"/>
      <c r="E270" s="36"/>
      <c r="F270" s="34" t="str">
        <f>IF(A270="","",VALUE(貼り付け用!$B$2&amp;"1日")+MOD(ROW(A269)-1,DAY(EOMONTH(貼り付け用!$B$2&amp;"1日",0))))</f>
        <v/>
      </c>
      <c r="G270" s="34"/>
      <c r="H270" s="44" t="str">
        <f ca="1">IF(A270&lt;&gt;"",OFFSET('まとめ（登園）'!$B$1,MATCH(CSVフォーム!A270,'まとめ（登園）'!$B:$B,0)-1,MATCH(DAY(F270),'まとめ（登園）'!$2:$2,0)-2),"")</f>
        <v/>
      </c>
      <c r="I270" s="44" t="str">
        <f ca="1">IF(A270&lt;&gt;"",OFFSET('まとめ（降園）'!$B$1,MATCH(CSVフォーム!A270,'まとめ（降園）'!$B:$B,0)-1,MATCH(DAY(F270),'まとめ（降園）'!$2:$2,0)-2),"")</f>
        <v/>
      </c>
    </row>
    <row r="271" spans="1:9" ht="17.399999999999999" customHeight="1" x14ac:dyDescent="0.5">
      <c r="A271" s="33" t="str">
        <f t="array" ref="A271">IFERROR(INDEX('まとめ（登園）'!$B$3:$B$500,INT((ROW(A270)-1)/DAY(EOMONTH(貼り付け用!$B$2&amp;"1日",0)))+1)&amp;"","")</f>
        <v/>
      </c>
      <c r="B271" s="33" t="str">
        <f>IF(A271&lt;&gt;"",VLOOKUP(A271,子どもマスタ!$A$1:$F$301,2,FALSE),"")</f>
        <v/>
      </c>
      <c r="C271" s="34" t="str">
        <f>IF(A271&lt;&gt;"",
TEXT(VALUE(REPLACE(VLOOKUP(A271,子どもマスタ!$A$1:$F$301,5,FALSE),
FIND("(",VLOOKUP(A271,子どもマスタ!$A$1:$F$301,5,FALSE)),
FIND(")",VLOOKUP(A271,子どもマスタ!$A$1:$F$301,5,FALSE))
-FIND("(",VLOOKUP(A271,子どもマスタ!$A$1:$F$301,5,FALSE))+1,"")),"yyyy/mm/dd"),"")</f>
        <v/>
      </c>
      <c r="D271" s="35"/>
      <c r="E271" s="36"/>
      <c r="F271" s="34" t="str">
        <f>IF(A271="","",VALUE(貼り付け用!$B$2&amp;"1日")+MOD(ROW(A270)-1,DAY(EOMONTH(貼り付け用!$B$2&amp;"1日",0))))</f>
        <v/>
      </c>
      <c r="G271" s="34"/>
      <c r="H271" s="44" t="str">
        <f ca="1">IF(A271&lt;&gt;"",OFFSET('まとめ（登園）'!$B$1,MATCH(CSVフォーム!A271,'まとめ（登園）'!$B:$B,0)-1,MATCH(DAY(F271),'まとめ（登園）'!$2:$2,0)-2),"")</f>
        <v/>
      </c>
      <c r="I271" s="44" t="str">
        <f ca="1">IF(A271&lt;&gt;"",OFFSET('まとめ（降園）'!$B$1,MATCH(CSVフォーム!A271,'まとめ（降園）'!$B:$B,0)-1,MATCH(DAY(F271),'まとめ（降園）'!$2:$2,0)-2),"")</f>
        <v/>
      </c>
    </row>
    <row r="272" spans="1:9" ht="17.399999999999999" customHeight="1" x14ac:dyDescent="0.5">
      <c r="A272" s="33" t="str">
        <f t="array" ref="A272">IFERROR(INDEX('まとめ（登園）'!$B$3:$B$500,INT((ROW(A271)-1)/DAY(EOMONTH(貼り付け用!$B$2&amp;"1日",0)))+1)&amp;"","")</f>
        <v/>
      </c>
      <c r="B272" s="33" t="str">
        <f>IF(A272&lt;&gt;"",VLOOKUP(A272,子どもマスタ!$A$1:$F$301,2,FALSE),"")</f>
        <v/>
      </c>
      <c r="C272" s="34" t="str">
        <f>IF(A272&lt;&gt;"",
TEXT(VALUE(REPLACE(VLOOKUP(A272,子どもマスタ!$A$1:$F$301,5,FALSE),
FIND("(",VLOOKUP(A272,子どもマスタ!$A$1:$F$301,5,FALSE)),
FIND(")",VLOOKUP(A272,子どもマスタ!$A$1:$F$301,5,FALSE))
-FIND("(",VLOOKUP(A272,子どもマスタ!$A$1:$F$301,5,FALSE))+1,"")),"yyyy/mm/dd"),"")</f>
        <v/>
      </c>
      <c r="D272" s="35"/>
      <c r="E272" s="36"/>
      <c r="F272" s="34" t="str">
        <f>IF(A272="","",VALUE(貼り付け用!$B$2&amp;"1日")+MOD(ROW(A271)-1,DAY(EOMONTH(貼り付け用!$B$2&amp;"1日",0))))</f>
        <v/>
      </c>
      <c r="G272" s="34"/>
      <c r="H272" s="44" t="str">
        <f ca="1">IF(A272&lt;&gt;"",OFFSET('まとめ（登園）'!$B$1,MATCH(CSVフォーム!A272,'まとめ（登園）'!$B:$B,0)-1,MATCH(DAY(F272),'まとめ（登園）'!$2:$2,0)-2),"")</f>
        <v/>
      </c>
      <c r="I272" s="44" t="str">
        <f ca="1">IF(A272&lt;&gt;"",OFFSET('まとめ（降園）'!$B$1,MATCH(CSVフォーム!A272,'まとめ（降園）'!$B:$B,0)-1,MATCH(DAY(F272),'まとめ（降園）'!$2:$2,0)-2),"")</f>
        <v/>
      </c>
    </row>
    <row r="273" spans="1:9" ht="17.399999999999999" customHeight="1" x14ac:dyDescent="0.5">
      <c r="A273" s="33" t="str">
        <f t="array" ref="A273">IFERROR(INDEX('まとめ（登園）'!$B$3:$B$500,INT((ROW(A272)-1)/DAY(EOMONTH(貼り付け用!$B$2&amp;"1日",0)))+1)&amp;"","")</f>
        <v/>
      </c>
      <c r="B273" s="33" t="str">
        <f>IF(A273&lt;&gt;"",VLOOKUP(A273,子どもマスタ!$A$1:$F$301,2,FALSE),"")</f>
        <v/>
      </c>
      <c r="C273" s="34" t="str">
        <f>IF(A273&lt;&gt;"",
TEXT(VALUE(REPLACE(VLOOKUP(A273,子どもマスタ!$A$1:$F$301,5,FALSE),
FIND("(",VLOOKUP(A273,子どもマスタ!$A$1:$F$301,5,FALSE)),
FIND(")",VLOOKUP(A273,子どもマスタ!$A$1:$F$301,5,FALSE))
-FIND("(",VLOOKUP(A273,子どもマスタ!$A$1:$F$301,5,FALSE))+1,"")),"yyyy/mm/dd"),"")</f>
        <v/>
      </c>
      <c r="D273" s="35"/>
      <c r="E273" s="36"/>
      <c r="F273" s="34" t="str">
        <f>IF(A273="","",VALUE(貼り付け用!$B$2&amp;"1日")+MOD(ROW(A272)-1,DAY(EOMONTH(貼り付け用!$B$2&amp;"1日",0))))</f>
        <v/>
      </c>
      <c r="G273" s="34"/>
      <c r="H273" s="44" t="str">
        <f ca="1">IF(A273&lt;&gt;"",OFFSET('まとめ（登園）'!$B$1,MATCH(CSVフォーム!A273,'まとめ（登園）'!$B:$B,0)-1,MATCH(DAY(F273),'まとめ（登園）'!$2:$2,0)-2),"")</f>
        <v/>
      </c>
      <c r="I273" s="44" t="str">
        <f ca="1">IF(A273&lt;&gt;"",OFFSET('まとめ（降園）'!$B$1,MATCH(CSVフォーム!A273,'まとめ（降園）'!$B:$B,0)-1,MATCH(DAY(F273),'まとめ（降園）'!$2:$2,0)-2),"")</f>
        <v/>
      </c>
    </row>
    <row r="274" spans="1:9" ht="17.399999999999999" customHeight="1" x14ac:dyDescent="0.5">
      <c r="A274" s="33" t="str">
        <f t="array" ref="A274">IFERROR(INDEX('まとめ（登園）'!$B$3:$B$500,INT((ROW(A273)-1)/DAY(EOMONTH(貼り付け用!$B$2&amp;"1日",0)))+1)&amp;"","")</f>
        <v/>
      </c>
      <c r="B274" s="33" t="str">
        <f>IF(A274&lt;&gt;"",VLOOKUP(A274,子どもマスタ!$A$1:$F$301,2,FALSE),"")</f>
        <v/>
      </c>
      <c r="C274" s="34" t="str">
        <f>IF(A274&lt;&gt;"",
TEXT(VALUE(REPLACE(VLOOKUP(A274,子どもマスタ!$A$1:$F$301,5,FALSE),
FIND("(",VLOOKUP(A274,子どもマスタ!$A$1:$F$301,5,FALSE)),
FIND(")",VLOOKUP(A274,子どもマスタ!$A$1:$F$301,5,FALSE))
-FIND("(",VLOOKUP(A274,子どもマスタ!$A$1:$F$301,5,FALSE))+1,"")),"yyyy/mm/dd"),"")</f>
        <v/>
      </c>
      <c r="D274" s="35"/>
      <c r="E274" s="36"/>
      <c r="F274" s="34" t="str">
        <f>IF(A274="","",VALUE(貼り付け用!$B$2&amp;"1日")+MOD(ROW(A273)-1,DAY(EOMONTH(貼り付け用!$B$2&amp;"1日",0))))</f>
        <v/>
      </c>
      <c r="G274" s="34"/>
      <c r="H274" s="44" t="str">
        <f ca="1">IF(A274&lt;&gt;"",OFFSET('まとめ（登園）'!$B$1,MATCH(CSVフォーム!A274,'まとめ（登園）'!$B:$B,0)-1,MATCH(DAY(F274),'まとめ（登園）'!$2:$2,0)-2),"")</f>
        <v/>
      </c>
      <c r="I274" s="44" t="str">
        <f ca="1">IF(A274&lt;&gt;"",OFFSET('まとめ（降園）'!$B$1,MATCH(CSVフォーム!A274,'まとめ（降園）'!$B:$B,0)-1,MATCH(DAY(F274),'まとめ（降園）'!$2:$2,0)-2),"")</f>
        <v/>
      </c>
    </row>
    <row r="275" spans="1:9" ht="17.399999999999999" customHeight="1" x14ac:dyDescent="0.5">
      <c r="A275" s="33" t="str">
        <f t="array" ref="A275">IFERROR(INDEX('まとめ（登園）'!$B$3:$B$500,INT((ROW(A274)-1)/DAY(EOMONTH(貼り付け用!$B$2&amp;"1日",0)))+1)&amp;"","")</f>
        <v/>
      </c>
      <c r="B275" s="33" t="str">
        <f>IF(A275&lt;&gt;"",VLOOKUP(A275,子どもマスタ!$A$1:$F$301,2,FALSE),"")</f>
        <v/>
      </c>
      <c r="C275" s="34" t="str">
        <f>IF(A275&lt;&gt;"",
TEXT(VALUE(REPLACE(VLOOKUP(A275,子どもマスタ!$A$1:$F$301,5,FALSE),
FIND("(",VLOOKUP(A275,子どもマスタ!$A$1:$F$301,5,FALSE)),
FIND(")",VLOOKUP(A275,子どもマスタ!$A$1:$F$301,5,FALSE))
-FIND("(",VLOOKUP(A275,子どもマスタ!$A$1:$F$301,5,FALSE))+1,"")),"yyyy/mm/dd"),"")</f>
        <v/>
      </c>
      <c r="D275" s="35"/>
      <c r="E275" s="36"/>
      <c r="F275" s="34" t="str">
        <f>IF(A275="","",VALUE(貼り付け用!$B$2&amp;"1日")+MOD(ROW(A274)-1,DAY(EOMONTH(貼り付け用!$B$2&amp;"1日",0))))</f>
        <v/>
      </c>
      <c r="G275" s="34"/>
      <c r="H275" s="44" t="str">
        <f ca="1">IF(A275&lt;&gt;"",OFFSET('まとめ（登園）'!$B$1,MATCH(CSVフォーム!A275,'まとめ（登園）'!$B:$B,0)-1,MATCH(DAY(F275),'まとめ（登園）'!$2:$2,0)-2),"")</f>
        <v/>
      </c>
      <c r="I275" s="44" t="str">
        <f ca="1">IF(A275&lt;&gt;"",OFFSET('まとめ（降園）'!$B$1,MATCH(CSVフォーム!A275,'まとめ（降園）'!$B:$B,0)-1,MATCH(DAY(F275),'まとめ（降園）'!$2:$2,0)-2),"")</f>
        <v/>
      </c>
    </row>
    <row r="276" spans="1:9" ht="17.399999999999999" customHeight="1" x14ac:dyDescent="0.5">
      <c r="A276" s="33" t="str">
        <f t="array" ref="A276">IFERROR(INDEX('まとめ（登園）'!$B$3:$B$500,INT((ROW(A275)-1)/DAY(EOMONTH(貼り付け用!$B$2&amp;"1日",0)))+1)&amp;"","")</f>
        <v/>
      </c>
      <c r="B276" s="33" t="str">
        <f>IF(A276&lt;&gt;"",VLOOKUP(A276,子どもマスタ!$A$1:$F$301,2,FALSE),"")</f>
        <v/>
      </c>
      <c r="C276" s="34" t="str">
        <f>IF(A276&lt;&gt;"",
TEXT(VALUE(REPLACE(VLOOKUP(A276,子どもマスタ!$A$1:$F$301,5,FALSE),
FIND("(",VLOOKUP(A276,子どもマスタ!$A$1:$F$301,5,FALSE)),
FIND(")",VLOOKUP(A276,子どもマスタ!$A$1:$F$301,5,FALSE))
-FIND("(",VLOOKUP(A276,子どもマスタ!$A$1:$F$301,5,FALSE))+1,"")),"yyyy/mm/dd"),"")</f>
        <v/>
      </c>
      <c r="D276" s="35"/>
      <c r="E276" s="36"/>
      <c r="F276" s="34" t="str">
        <f>IF(A276="","",VALUE(貼り付け用!$B$2&amp;"1日")+MOD(ROW(A275)-1,DAY(EOMONTH(貼り付け用!$B$2&amp;"1日",0))))</f>
        <v/>
      </c>
      <c r="G276" s="34"/>
      <c r="H276" s="44" t="str">
        <f ca="1">IF(A276&lt;&gt;"",OFFSET('まとめ（登園）'!$B$1,MATCH(CSVフォーム!A276,'まとめ（登園）'!$B:$B,0)-1,MATCH(DAY(F276),'まとめ（登園）'!$2:$2,0)-2),"")</f>
        <v/>
      </c>
      <c r="I276" s="44" t="str">
        <f ca="1">IF(A276&lt;&gt;"",OFFSET('まとめ（降園）'!$B$1,MATCH(CSVフォーム!A276,'まとめ（降園）'!$B:$B,0)-1,MATCH(DAY(F276),'まとめ（降園）'!$2:$2,0)-2),"")</f>
        <v/>
      </c>
    </row>
    <row r="277" spans="1:9" ht="17.399999999999999" customHeight="1" x14ac:dyDescent="0.5">
      <c r="A277" s="33" t="str">
        <f t="array" ref="A277">IFERROR(INDEX('まとめ（登園）'!$B$3:$B$500,INT((ROW(A276)-1)/DAY(EOMONTH(貼り付け用!$B$2&amp;"1日",0)))+1)&amp;"","")</f>
        <v/>
      </c>
      <c r="B277" s="33" t="str">
        <f>IF(A277&lt;&gt;"",VLOOKUP(A277,子どもマスタ!$A$1:$F$301,2,FALSE),"")</f>
        <v/>
      </c>
      <c r="C277" s="34" t="str">
        <f>IF(A277&lt;&gt;"",
TEXT(VALUE(REPLACE(VLOOKUP(A277,子どもマスタ!$A$1:$F$301,5,FALSE),
FIND("(",VLOOKUP(A277,子どもマスタ!$A$1:$F$301,5,FALSE)),
FIND(")",VLOOKUP(A277,子どもマスタ!$A$1:$F$301,5,FALSE))
-FIND("(",VLOOKUP(A277,子どもマスタ!$A$1:$F$301,5,FALSE))+1,"")),"yyyy/mm/dd"),"")</f>
        <v/>
      </c>
      <c r="D277" s="35"/>
      <c r="E277" s="36"/>
      <c r="F277" s="34" t="str">
        <f>IF(A277="","",VALUE(貼り付け用!$B$2&amp;"1日")+MOD(ROW(A276)-1,DAY(EOMONTH(貼り付け用!$B$2&amp;"1日",0))))</f>
        <v/>
      </c>
      <c r="G277" s="34"/>
      <c r="H277" s="44" t="str">
        <f ca="1">IF(A277&lt;&gt;"",OFFSET('まとめ（登園）'!$B$1,MATCH(CSVフォーム!A277,'まとめ（登園）'!$B:$B,0)-1,MATCH(DAY(F277),'まとめ（登園）'!$2:$2,0)-2),"")</f>
        <v/>
      </c>
      <c r="I277" s="44" t="str">
        <f ca="1">IF(A277&lt;&gt;"",OFFSET('まとめ（降園）'!$B$1,MATCH(CSVフォーム!A277,'まとめ（降園）'!$B:$B,0)-1,MATCH(DAY(F277),'まとめ（降園）'!$2:$2,0)-2),"")</f>
        <v/>
      </c>
    </row>
    <row r="278" spans="1:9" ht="17.399999999999999" customHeight="1" x14ac:dyDescent="0.5">
      <c r="A278" s="33" t="str">
        <f t="array" ref="A278">IFERROR(INDEX('まとめ（登園）'!$B$3:$B$500,INT((ROW(A277)-1)/DAY(EOMONTH(貼り付け用!$B$2&amp;"1日",0)))+1)&amp;"","")</f>
        <v/>
      </c>
      <c r="B278" s="33" t="str">
        <f>IF(A278&lt;&gt;"",VLOOKUP(A278,子どもマスタ!$A$1:$F$301,2,FALSE),"")</f>
        <v/>
      </c>
      <c r="C278" s="34" t="str">
        <f>IF(A278&lt;&gt;"",
TEXT(VALUE(REPLACE(VLOOKUP(A278,子どもマスタ!$A$1:$F$301,5,FALSE),
FIND("(",VLOOKUP(A278,子どもマスタ!$A$1:$F$301,5,FALSE)),
FIND(")",VLOOKUP(A278,子どもマスタ!$A$1:$F$301,5,FALSE))
-FIND("(",VLOOKUP(A278,子どもマスタ!$A$1:$F$301,5,FALSE))+1,"")),"yyyy/mm/dd"),"")</f>
        <v/>
      </c>
      <c r="D278" s="35"/>
      <c r="E278" s="36"/>
      <c r="F278" s="34" t="str">
        <f>IF(A278="","",VALUE(貼り付け用!$B$2&amp;"1日")+MOD(ROW(A277)-1,DAY(EOMONTH(貼り付け用!$B$2&amp;"1日",0))))</f>
        <v/>
      </c>
      <c r="G278" s="34"/>
      <c r="H278" s="44" t="str">
        <f ca="1">IF(A278&lt;&gt;"",OFFSET('まとめ（登園）'!$B$1,MATCH(CSVフォーム!A278,'まとめ（登園）'!$B:$B,0)-1,MATCH(DAY(F278),'まとめ（登園）'!$2:$2,0)-2),"")</f>
        <v/>
      </c>
      <c r="I278" s="44" t="str">
        <f ca="1">IF(A278&lt;&gt;"",OFFSET('まとめ（降園）'!$B$1,MATCH(CSVフォーム!A278,'まとめ（降園）'!$B:$B,0)-1,MATCH(DAY(F278),'まとめ（降園）'!$2:$2,0)-2),"")</f>
        <v/>
      </c>
    </row>
    <row r="279" spans="1:9" ht="17.399999999999999" customHeight="1" x14ac:dyDescent="0.5">
      <c r="A279" s="33" t="str">
        <f t="array" ref="A279">IFERROR(INDEX('まとめ（登園）'!$B$3:$B$500,INT((ROW(A278)-1)/DAY(EOMONTH(貼り付け用!$B$2&amp;"1日",0)))+1)&amp;"","")</f>
        <v/>
      </c>
      <c r="B279" s="33" t="str">
        <f>IF(A279&lt;&gt;"",VLOOKUP(A279,子どもマスタ!$A$1:$F$301,2,FALSE),"")</f>
        <v/>
      </c>
      <c r="C279" s="34" t="str">
        <f>IF(A279&lt;&gt;"",
TEXT(VALUE(REPLACE(VLOOKUP(A279,子どもマスタ!$A$1:$F$301,5,FALSE),
FIND("(",VLOOKUP(A279,子どもマスタ!$A$1:$F$301,5,FALSE)),
FIND(")",VLOOKUP(A279,子どもマスタ!$A$1:$F$301,5,FALSE))
-FIND("(",VLOOKUP(A279,子どもマスタ!$A$1:$F$301,5,FALSE))+1,"")),"yyyy/mm/dd"),"")</f>
        <v/>
      </c>
      <c r="D279" s="35"/>
      <c r="E279" s="36"/>
      <c r="F279" s="34" t="str">
        <f>IF(A279="","",VALUE(貼り付け用!$B$2&amp;"1日")+MOD(ROW(A278)-1,DAY(EOMONTH(貼り付け用!$B$2&amp;"1日",0))))</f>
        <v/>
      </c>
      <c r="G279" s="34"/>
      <c r="H279" s="44" t="str">
        <f ca="1">IF(A279&lt;&gt;"",OFFSET('まとめ（登園）'!$B$1,MATCH(CSVフォーム!A279,'まとめ（登園）'!$B:$B,0)-1,MATCH(DAY(F279),'まとめ（登園）'!$2:$2,0)-2),"")</f>
        <v/>
      </c>
      <c r="I279" s="44" t="str">
        <f ca="1">IF(A279&lt;&gt;"",OFFSET('まとめ（降園）'!$B$1,MATCH(CSVフォーム!A279,'まとめ（降園）'!$B:$B,0)-1,MATCH(DAY(F279),'まとめ（降園）'!$2:$2,0)-2),"")</f>
        <v/>
      </c>
    </row>
    <row r="280" spans="1:9" ht="17.399999999999999" customHeight="1" x14ac:dyDescent="0.5">
      <c r="A280" s="33" t="str">
        <f t="array" ref="A280">IFERROR(INDEX('まとめ（登園）'!$B$3:$B$500,INT((ROW(A279)-1)/DAY(EOMONTH(貼り付け用!$B$2&amp;"1日",0)))+1)&amp;"","")</f>
        <v/>
      </c>
      <c r="B280" s="33" t="str">
        <f>IF(A280&lt;&gt;"",VLOOKUP(A280,子どもマスタ!$A$1:$F$301,2,FALSE),"")</f>
        <v/>
      </c>
      <c r="C280" s="34" t="str">
        <f>IF(A280&lt;&gt;"",
TEXT(VALUE(REPLACE(VLOOKUP(A280,子どもマスタ!$A$1:$F$301,5,FALSE),
FIND("(",VLOOKUP(A280,子どもマスタ!$A$1:$F$301,5,FALSE)),
FIND(")",VLOOKUP(A280,子どもマスタ!$A$1:$F$301,5,FALSE))
-FIND("(",VLOOKUP(A280,子どもマスタ!$A$1:$F$301,5,FALSE))+1,"")),"yyyy/mm/dd"),"")</f>
        <v/>
      </c>
      <c r="D280" s="35"/>
      <c r="E280" s="36"/>
      <c r="F280" s="34" t="str">
        <f>IF(A280="","",VALUE(貼り付け用!$B$2&amp;"1日")+MOD(ROW(A279)-1,DAY(EOMONTH(貼り付け用!$B$2&amp;"1日",0))))</f>
        <v/>
      </c>
      <c r="G280" s="34"/>
      <c r="H280" s="44" t="str">
        <f ca="1">IF(A280&lt;&gt;"",OFFSET('まとめ（登園）'!$B$1,MATCH(CSVフォーム!A280,'まとめ（登園）'!$B:$B,0)-1,MATCH(DAY(F280),'まとめ（登園）'!$2:$2,0)-2),"")</f>
        <v/>
      </c>
      <c r="I280" s="44" t="str">
        <f ca="1">IF(A280&lt;&gt;"",OFFSET('まとめ（降園）'!$B$1,MATCH(CSVフォーム!A280,'まとめ（降園）'!$B:$B,0)-1,MATCH(DAY(F280),'まとめ（降園）'!$2:$2,0)-2),"")</f>
        <v/>
      </c>
    </row>
    <row r="281" spans="1:9" ht="17.399999999999999" customHeight="1" x14ac:dyDescent="0.5">
      <c r="A281" s="33" t="str">
        <f t="array" ref="A281">IFERROR(INDEX('まとめ（登園）'!$B$3:$B$500,INT((ROW(A280)-1)/DAY(EOMONTH(貼り付け用!$B$2&amp;"1日",0)))+1)&amp;"","")</f>
        <v/>
      </c>
      <c r="B281" s="33" t="str">
        <f>IF(A281&lt;&gt;"",VLOOKUP(A281,子どもマスタ!$A$1:$F$301,2,FALSE),"")</f>
        <v/>
      </c>
      <c r="C281" s="34" t="str">
        <f>IF(A281&lt;&gt;"",
TEXT(VALUE(REPLACE(VLOOKUP(A281,子どもマスタ!$A$1:$F$301,5,FALSE),
FIND("(",VLOOKUP(A281,子どもマスタ!$A$1:$F$301,5,FALSE)),
FIND(")",VLOOKUP(A281,子どもマスタ!$A$1:$F$301,5,FALSE))
-FIND("(",VLOOKUP(A281,子どもマスタ!$A$1:$F$301,5,FALSE))+1,"")),"yyyy/mm/dd"),"")</f>
        <v/>
      </c>
      <c r="D281" s="35"/>
      <c r="E281" s="36"/>
      <c r="F281" s="34" t="str">
        <f>IF(A281="","",VALUE(貼り付け用!$B$2&amp;"1日")+MOD(ROW(A280)-1,DAY(EOMONTH(貼り付け用!$B$2&amp;"1日",0))))</f>
        <v/>
      </c>
      <c r="G281" s="34"/>
      <c r="H281" s="44" t="str">
        <f ca="1">IF(A281&lt;&gt;"",OFFSET('まとめ（登園）'!$B$1,MATCH(CSVフォーム!A281,'まとめ（登園）'!$B:$B,0)-1,MATCH(DAY(F281),'まとめ（登園）'!$2:$2,0)-2),"")</f>
        <v/>
      </c>
      <c r="I281" s="44" t="str">
        <f ca="1">IF(A281&lt;&gt;"",OFFSET('まとめ（降園）'!$B$1,MATCH(CSVフォーム!A281,'まとめ（降園）'!$B:$B,0)-1,MATCH(DAY(F281),'まとめ（降園）'!$2:$2,0)-2),"")</f>
        <v/>
      </c>
    </row>
    <row r="282" spans="1:9" ht="17.399999999999999" customHeight="1" x14ac:dyDescent="0.5">
      <c r="A282" s="33" t="str">
        <f t="array" ref="A282">IFERROR(INDEX('まとめ（登園）'!$B$3:$B$500,INT((ROW(A281)-1)/DAY(EOMONTH(貼り付け用!$B$2&amp;"1日",0)))+1)&amp;"","")</f>
        <v/>
      </c>
      <c r="B282" s="33" t="str">
        <f>IF(A282&lt;&gt;"",VLOOKUP(A282,子どもマスタ!$A$1:$F$301,2,FALSE),"")</f>
        <v/>
      </c>
      <c r="C282" s="34" t="str">
        <f>IF(A282&lt;&gt;"",
TEXT(VALUE(REPLACE(VLOOKUP(A282,子どもマスタ!$A$1:$F$301,5,FALSE),
FIND("(",VLOOKUP(A282,子どもマスタ!$A$1:$F$301,5,FALSE)),
FIND(")",VLOOKUP(A282,子どもマスタ!$A$1:$F$301,5,FALSE))
-FIND("(",VLOOKUP(A282,子どもマスタ!$A$1:$F$301,5,FALSE))+1,"")),"yyyy/mm/dd"),"")</f>
        <v/>
      </c>
      <c r="D282" s="35"/>
      <c r="E282" s="36"/>
      <c r="F282" s="34" t="str">
        <f>IF(A282="","",VALUE(貼り付け用!$B$2&amp;"1日")+MOD(ROW(A281)-1,DAY(EOMONTH(貼り付け用!$B$2&amp;"1日",0))))</f>
        <v/>
      </c>
      <c r="G282" s="34"/>
      <c r="H282" s="44" t="str">
        <f ca="1">IF(A282&lt;&gt;"",OFFSET('まとめ（登園）'!$B$1,MATCH(CSVフォーム!A282,'まとめ（登園）'!$B:$B,0)-1,MATCH(DAY(F282),'まとめ（登園）'!$2:$2,0)-2),"")</f>
        <v/>
      </c>
      <c r="I282" s="44" t="str">
        <f ca="1">IF(A282&lt;&gt;"",OFFSET('まとめ（降園）'!$B$1,MATCH(CSVフォーム!A282,'まとめ（降園）'!$B:$B,0)-1,MATCH(DAY(F282),'まとめ（降園）'!$2:$2,0)-2),"")</f>
        <v/>
      </c>
    </row>
    <row r="283" spans="1:9" ht="17.399999999999999" customHeight="1" x14ac:dyDescent="0.5">
      <c r="A283" s="33" t="str">
        <f t="array" ref="A283">IFERROR(INDEX('まとめ（登園）'!$B$3:$B$500,INT((ROW(A282)-1)/DAY(EOMONTH(貼り付け用!$B$2&amp;"1日",0)))+1)&amp;"","")</f>
        <v/>
      </c>
      <c r="B283" s="33" t="str">
        <f>IF(A283&lt;&gt;"",VLOOKUP(A283,子どもマスタ!$A$1:$F$301,2,FALSE),"")</f>
        <v/>
      </c>
      <c r="C283" s="34" t="str">
        <f>IF(A283&lt;&gt;"",
TEXT(VALUE(REPLACE(VLOOKUP(A283,子どもマスタ!$A$1:$F$301,5,FALSE),
FIND("(",VLOOKUP(A283,子どもマスタ!$A$1:$F$301,5,FALSE)),
FIND(")",VLOOKUP(A283,子どもマスタ!$A$1:$F$301,5,FALSE))
-FIND("(",VLOOKUP(A283,子どもマスタ!$A$1:$F$301,5,FALSE))+1,"")),"yyyy/mm/dd"),"")</f>
        <v/>
      </c>
      <c r="D283" s="35"/>
      <c r="E283" s="36"/>
      <c r="F283" s="34" t="str">
        <f>IF(A283="","",VALUE(貼り付け用!$B$2&amp;"1日")+MOD(ROW(A282)-1,DAY(EOMONTH(貼り付け用!$B$2&amp;"1日",0))))</f>
        <v/>
      </c>
      <c r="G283" s="34"/>
      <c r="H283" s="44" t="str">
        <f ca="1">IF(A283&lt;&gt;"",OFFSET('まとめ（登園）'!$B$1,MATCH(CSVフォーム!A283,'まとめ（登園）'!$B:$B,0)-1,MATCH(DAY(F283),'まとめ（登園）'!$2:$2,0)-2),"")</f>
        <v/>
      </c>
      <c r="I283" s="44" t="str">
        <f ca="1">IF(A283&lt;&gt;"",OFFSET('まとめ（降園）'!$B$1,MATCH(CSVフォーム!A283,'まとめ（降園）'!$B:$B,0)-1,MATCH(DAY(F283),'まとめ（降園）'!$2:$2,0)-2),"")</f>
        <v/>
      </c>
    </row>
    <row r="284" spans="1:9" ht="17.399999999999999" customHeight="1" x14ac:dyDescent="0.5">
      <c r="A284" s="33" t="str">
        <f t="array" ref="A284">IFERROR(INDEX('まとめ（登園）'!$B$3:$B$500,INT((ROW(A283)-1)/DAY(EOMONTH(貼り付け用!$B$2&amp;"1日",0)))+1)&amp;"","")</f>
        <v/>
      </c>
      <c r="B284" s="33" t="str">
        <f>IF(A284&lt;&gt;"",VLOOKUP(A284,子どもマスタ!$A$1:$F$301,2,FALSE),"")</f>
        <v/>
      </c>
      <c r="C284" s="34" t="str">
        <f>IF(A284&lt;&gt;"",
TEXT(VALUE(REPLACE(VLOOKUP(A284,子どもマスタ!$A$1:$F$301,5,FALSE),
FIND("(",VLOOKUP(A284,子どもマスタ!$A$1:$F$301,5,FALSE)),
FIND(")",VLOOKUP(A284,子どもマスタ!$A$1:$F$301,5,FALSE))
-FIND("(",VLOOKUP(A284,子どもマスタ!$A$1:$F$301,5,FALSE))+1,"")),"yyyy/mm/dd"),"")</f>
        <v/>
      </c>
      <c r="D284" s="35"/>
      <c r="E284" s="36"/>
      <c r="F284" s="34" t="str">
        <f>IF(A284="","",VALUE(貼り付け用!$B$2&amp;"1日")+MOD(ROW(A283)-1,DAY(EOMONTH(貼り付け用!$B$2&amp;"1日",0))))</f>
        <v/>
      </c>
      <c r="G284" s="34"/>
      <c r="H284" s="44" t="str">
        <f ca="1">IF(A284&lt;&gt;"",OFFSET('まとめ（登園）'!$B$1,MATCH(CSVフォーム!A284,'まとめ（登園）'!$B:$B,0)-1,MATCH(DAY(F284),'まとめ（登園）'!$2:$2,0)-2),"")</f>
        <v/>
      </c>
      <c r="I284" s="44" t="str">
        <f ca="1">IF(A284&lt;&gt;"",OFFSET('まとめ（降園）'!$B$1,MATCH(CSVフォーム!A284,'まとめ（降園）'!$B:$B,0)-1,MATCH(DAY(F284),'まとめ（降園）'!$2:$2,0)-2),"")</f>
        <v/>
      </c>
    </row>
    <row r="285" spans="1:9" ht="17.399999999999999" customHeight="1" x14ac:dyDescent="0.5">
      <c r="A285" s="33" t="str">
        <f t="array" ref="A285">IFERROR(INDEX('まとめ（登園）'!$B$3:$B$500,INT((ROW(A284)-1)/DAY(EOMONTH(貼り付け用!$B$2&amp;"1日",0)))+1)&amp;"","")</f>
        <v/>
      </c>
      <c r="B285" s="33" t="str">
        <f>IF(A285&lt;&gt;"",VLOOKUP(A285,子どもマスタ!$A$1:$F$301,2,FALSE),"")</f>
        <v/>
      </c>
      <c r="C285" s="34" t="str">
        <f>IF(A285&lt;&gt;"",
TEXT(VALUE(REPLACE(VLOOKUP(A285,子どもマスタ!$A$1:$F$301,5,FALSE),
FIND("(",VLOOKUP(A285,子どもマスタ!$A$1:$F$301,5,FALSE)),
FIND(")",VLOOKUP(A285,子どもマスタ!$A$1:$F$301,5,FALSE))
-FIND("(",VLOOKUP(A285,子どもマスタ!$A$1:$F$301,5,FALSE))+1,"")),"yyyy/mm/dd"),"")</f>
        <v/>
      </c>
      <c r="D285" s="35"/>
      <c r="E285" s="36"/>
      <c r="F285" s="34" t="str">
        <f>IF(A285="","",VALUE(貼り付け用!$B$2&amp;"1日")+MOD(ROW(A284)-1,DAY(EOMONTH(貼り付け用!$B$2&amp;"1日",0))))</f>
        <v/>
      </c>
      <c r="G285" s="34"/>
      <c r="H285" s="44" t="str">
        <f ca="1">IF(A285&lt;&gt;"",OFFSET('まとめ（登園）'!$B$1,MATCH(CSVフォーム!A285,'まとめ（登園）'!$B:$B,0)-1,MATCH(DAY(F285),'まとめ（登園）'!$2:$2,0)-2),"")</f>
        <v/>
      </c>
      <c r="I285" s="44" t="str">
        <f ca="1">IF(A285&lt;&gt;"",OFFSET('まとめ（降園）'!$B$1,MATCH(CSVフォーム!A285,'まとめ（降園）'!$B:$B,0)-1,MATCH(DAY(F285),'まとめ（降園）'!$2:$2,0)-2),"")</f>
        <v/>
      </c>
    </row>
    <row r="286" spans="1:9" ht="17.399999999999999" customHeight="1" x14ac:dyDescent="0.5">
      <c r="A286" s="33" t="str">
        <f t="array" ref="A286">IFERROR(INDEX('まとめ（登園）'!$B$3:$B$500,INT((ROW(A285)-1)/DAY(EOMONTH(貼り付け用!$B$2&amp;"1日",0)))+1)&amp;"","")</f>
        <v/>
      </c>
      <c r="B286" s="33" t="str">
        <f>IF(A286&lt;&gt;"",VLOOKUP(A286,子どもマスタ!$A$1:$F$301,2,FALSE),"")</f>
        <v/>
      </c>
      <c r="C286" s="34" t="str">
        <f>IF(A286&lt;&gt;"",
TEXT(VALUE(REPLACE(VLOOKUP(A286,子どもマスタ!$A$1:$F$301,5,FALSE),
FIND("(",VLOOKUP(A286,子どもマスタ!$A$1:$F$301,5,FALSE)),
FIND(")",VLOOKUP(A286,子どもマスタ!$A$1:$F$301,5,FALSE))
-FIND("(",VLOOKUP(A286,子どもマスタ!$A$1:$F$301,5,FALSE))+1,"")),"yyyy/mm/dd"),"")</f>
        <v/>
      </c>
      <c r="D286" s="35"/>
      <c r="E286" s="36"/>
      <c r="F286" s="34" t="str">
        <f>IF(A286="","",VALUE(貼り付け用!$B$2&amp;"1日")+MOD(ROW(A285)-1,DAY(EOMONTH(貼り付け用!$B$2&amp;"1日",0))))</f>
        <v/>
      </c>
      <c r="G286" s="34"/>
      <c r="H286" s="44" t="str">
        <f ca="1">IF(A286&lt;&gt;"",OFFSET('まとめ（登園）'!$B$1,MATCH(CSVフォーム!A286,'まとめ（登園）'!$B:$B,0)-1,MATCH(DAY(F286),'まとめ（登園）'!$2:$2,0)-2),"")</f>
        <v/>
      </c>
      <c r="I286" s="44" t="str">
        <f ca="1">IF(A286&lt;&gt;"",OFFSET('まとめ（降園）'!$B$1,MATCH(CSVフォーム!A286,'まとめ（降園）'!$B:$B,0)-1,MATCH(DAY(F286),'まとめ（降園）'!$2:$2,0)-2),"")</f>
        <v/>
      </c>
    </row>
    <row r="287" spans="1:9" ht="17.399999999999999" customHeight="1" x14ac:dyDescent="0.5">
      <c r="A287" s="33" t="str">
        <f t="array" ref="A287">IFERROR(INDEX('まとめ（登園）'!$B$3:$B$500,INT((ROW(A286)-1)/DAY(EOMONTH(貼り付け用!$B$2&amp;"1日",0)))+1)&amp;"","")</f>
        <v/>
      </c>
      <c r="B287" s="33" t="str">
        <f>IF(A287&lt;&gt;"",VLOOKUP(A287,子どもマスタ!$A$1:$F$301,2,FALSE),"")</f>
        <v/>
      </c>
      <c r="C287" s="34" t="str">
        <f>IF(A287&lt;&gt;"",
TEXT(VALUE(REPLACE(VLOOKUP(A287,子どもマスタ!$A$1:$F$301,5,FALSE),
FIND("(",VLOOKUP(A287,子どもマスタ!$A$1:$F$301,5,FALSE)),
FIND(")",VLOOKUP(A287,子どもマスタ!$A$1:$F$301,5,FALSE))
-FIND("(",VLOOKUP(A287,子どもマスタ!$A$1:$F$301,5,FALSE))+1,"")),"yyyy/mm/dd"),"")</f>
        <v/>
      </c>
      <c r="D287" s="35"/>
      <c r="E287" s="36"/>
      <c r="F287" s="34" t="str">
        <f>IF(A287="","",VALUE(貼り付け用!$B$2&amp;"1日")+MOD(ROW(A286)-1,DAY(EOMONTH(貼り付け用!$B$2&amp;"1日",0))))</f>
        <v/>
      </c>
      <c r="G287" s="34"/>
      <c r="H287" s="44" t="str">
        <f ca="1">IF(A287&lt;&gt;"",OFFSET('まとめ（登園）'!$B$1,MATCH(CSVフォーム!A287,'まとめ（登園）'!$B:$B,0)-1,MATCH(DAY(F287),'まとめ（登園）'!$2:$2,0)-2),"")</f>
        <v/>
      </c>
      <c r="I287" s="44" t="str">
        <f ca="1">IF(A287&lt;&gt;"",OFFSET('まとめ（降園）'!$B$1,MATCH(CSVフォーム!A287,'まとめ（降園）'!$B:$B,0)-1,MATCH(DAY(F287),'まとめ（降園）'!$2:$2,0)-2),"")</f>
        <v/>
      </c>
    </row>
    <row r="288" spans="1:9" ht="17.399999999999999" customHeight="1" x14ac:dyDescent="0.5">
      <c r="A288" s="33" t="str">
        <f t="array" ref="A288">IFERROR(INDEX('まとめ（登園）'!$B$3:$B$500,INT((ROW(A287)-1)/DAY(EOMONTH(貼り付け用!$B$2&amp;"1日",0)))+1)&amp;"","")</f>
        <v/>
      </c>
      <c r="B288" s="33" t="str">
        <f>IF(A288&lt;&gt;"",VLOOKUP(A288,子どもマスタ!$A$1:$F$301,2,FALSE),"")</f>
        <v/>
      </c>
      <c r="C288" s="34" t="str">
        <f>IF(A288&lt;&gt;"",
TEXT(VALUE(REPLACE(VLOOKUP(A288,子どもマスタ!$A$1:$F$301,5,FALSE),
FIND("(",VLOOKUP(A288,子どもマスタ!$A$1:$F$301,5,FALSE)),
FIND(")",VLOOKUP(A288,子どもマスタ!$A$1:$F$301,5,FALSE))
-FIND("(",VLOOKUP(A288,子どもマスタ!$A$1:$F$301,5,FALSE))+1,"")),"yyyy/mm/dd"),"")</f>
        <v/>
      </c>
      <c r="D288" s="35"/>
      <c r="E288" s="36"/>
      <c r="F288" s="34" t="str">
        <f>IF(A288="","",VALUE(貼り付け用!$B$2&amp;"1日")+MOD(ROW(A287)-1,DAY(EOMONTH(貼り付け用!$B$2&amp;"1日",0))))</f>
        <v/>
      </c>
      <c r="G288" s="34"/>
      <c r="H288" s="44" t="str">
        <f ca="1">IF(A288&lt;&gt;"",OFFSET('まとめ（登園）'!$B$1,MATCH(CSVフォーム!A288,'まとめ（登園）'!$B:$B,0)-1,MATCH(DAY(F288),'まとめ（登園）'!$2:$2,0)-2),"")</f>
        <v/>
      </c>
      <c r="I288" s="44" t="str">
        <f ca="1">IF(A288&lt;&gt;"",OFFSET('まとめ（降園）'!$B$1,MATCH(CSVフォーム!A288,'まとめ（降園）'!$B:$B,0)-1,MATCH(DAY(F288),'まとめ（降園）'!$2:$2,0)-2),"")</f>
        <v/>
      </c>
    </row>
    <row r="289" spans="1:9" ht="17.399999999999999" customHeight="1" x14ac:dyDescent="0.5">
      <c r="A289" s="33" t="str">
        <f t="array" ref="A289">IFERROR(INDEX('まとめ（登園）'!$B$3:$B$500,INT((ROW(A288)-1)/DAY(EOMONTH(貼り付け用!$B$2&amp;"1日",0)))+1)&amp;"","")</f>
        <v/>
      </c>
      <c r="B289" s="33" t="str">
        <f>IF(A289&lt;&gt;"",VLOOKUP(A289,子どもマスタ!$A$1:$F$301,2,FALSE),"")</f>
        <v/>
      </c>
      <c r="C289" s="34" t="str">
        <f>IF(A289&lt;&gt;"",
TEXT(VALUE(REPLACE(VLOOKUP(A289,子どもマスタ!$A$1:$F$301,5,FALSE),
FIND("(",VLOOKUP(A289,子どもマスタ!$A$1:$F$301,5,FALSE)),
FIND(")",VLOOKUP(A289,子どもマスタ!$A$1:$F$301,5,FALSE))
-FIND("(",VLOOKUP(A289,子どもマスタ!$A$1:$F$301,5,FALSE))+1,"")),"yyyy/mm/dd"),"")</f>
        <v/>
      </c>
      <c r="D289" s="35"/>
      <c r="E289" s="36"/>
      <c r="F289" s="34" t="str">
        <f>IF(A289="","",VALUE(貼り付け用!$B$2&amp;"1日")+MOD(ROW(A288)-1,DAY(EOMONTH(貼り付け用!$B$2&amp;"1日",0))))</f>
        <v/>
      </c>
      <c r="G289" s="34"/>
      <c r="H289" s="44" t="str">
        <f ca="1">IF(A289&lt;&gt;"",OFFSET('まとめ（登園）'!$B$1,MATCH(CSVフォーム!A289,'まとめ（登園）'!$B:$B,0)-1,MATCH(DAY(F289),'まとめ（登園）'!$2:$2,0)-2),"")</f>
        <v/>
      </c>
      <c r="I289" s="44" t="str">
        <f ca="1">IF(A289&lt;&gt;"",OFFSET('まとめ（降園）'!$B$1,MATCH(CSVフォーム!A289,'まとめ（降園）'!$B:$B,0)-1,MATCH(DAY(F289),'まとめ（降園）'!$2:$2,0)-2),"")</f>
        <v/>
      </c>
    </row>
    <row r="290" spans="1:9" ht="17.399999999999999" customHeight="1" x14ac:dyDescent="0.5">
      <c r="A290" s="33" t="str">
        <f t="array" ref="A290">IFERROR(INDEX('まとめ（登園）'!$B$3:$B$500,INT((ROW(A289)-1)/DAY(EOMONTH(貼り付け用!$B$2&amp;"1日",0)))+1)&amp;"","")</f>
        <v/>
      </c>
      <c r="B290" s="33" t="str">
        <f>IF(A290&lt;&gt;"",VLOOKUP(A290,子どもマスタ!$A$1:$F$301,2,FALSE),"")</f>
        <v/>
      </c>
      <c r="C290" s="34" t="str">
        <f>IF(A290&lt;&gt;"",
TEXT(VALUE(REPLACE(VLOOKUP(A290,子どもマスタ!$A$1:$F$301,5,FALSE),
FIND("(",VLOOKUP(A290,子どもマスタ!$A$1:$F$301,5,FALSE)),
FIND(")",VLOOKUP(A290,子どもマスタ!$A$1:$F$301,5,FALSE))
-FIND("(",VLOOKUP(A290,子どもマスタ!$A$1:$F$301,5,FALSE))+1,"")),"yyyy/mm/dd"),"")</f>
        <v/>
      </c>
      <c r="D290" s="35"/>
      <c r="E290" s="36"/>
      <c r="F290" s="34" t="str">
        <f>IF(A290="","",VALUE(貼り付け用!$B$2&amp;"1日")+MOD(ROW(A289)-1,DAY(EOMONTH(貼り付け用!$B$2&amp;"1日",0))))</f>
        <v/>
      </c>
      <c r="G290" s="34"/>
      <c r="H290" s="44" t="str">
        <f ca="1">IF(A290&lt;&gt;"",OFFSET('まとめ（登園）'!$B$1,MATCH(CSVフォーム!A290,'まとめ（登園）'!$B:$B,0)-1,MATCH(DAY(F290),'まとめ（登園）'!$2:$2,0)-2),"")</f>
        <v/>
      </c>
      <c r="I290" s="44" t="str">
        <f ca="1">IF(A290&lt;&gt;"",OFFSET('まとめ（降園）'!$B$1,MATCH(CSVフォーム!A290,'まとめ（降園）'!$B:$B,0)-1,MATCH(DAY(F290),'まとめ（降園）'!$2:$2,0)-2),"")</f>
        <v/>
      </c>
    </row>
    <row r="291" spans="1:9" ht="17.399999999999999" customHeight="1" x14ac:dyDescent="0.5">
      <c r="A291" s="33" t="str">
        <f t="array" ref="A291">IFERROR(INDEX('まとめ（登園）'!$B$3:$B$500,INT((ROW(A290)-1)/DAY(EOMONTH(貼り付け用!$B$2&amp;"1日",0)))+1)&amp;"","")</f>
        <v/>
      </c>
      <c r="B291" s="33" t="str">
        <f>IF(A291&lt;&gt;"",VLOOKUP(A291,子どもマスタ!$A$1:$F$301,2,FALSE),"")</f>
        <v/>
      </c>
      <c r="C291" s="34" t="str">
        <f>IF(A291&lt;&gt;"",
TEXT(VALUE(REPLACE(VLOOKUP(A291,子どもマスタ!$A$1:$F$301,5,FALSE),
FIND("(",VLOOKUP(A291,子どもマスタ!$A$1:$F$301,5,FALSE)),
FIND(")",VLOOKUP(A291,子どもマスタ!$A$1:$F$301,5,FALSE))
-FIND("(",VLOOKUP(A291,子どもマスタ!$A$1:$F$301,5,FALSE))+1,"")),"yyyy/mm/dd"),"")</f>
        <v/>
      </c>
      <c r="D291" s="35"/>
      <c r="E291" s="36"/>
      <c r="F291" s="34" t="str">
        <f>IF(A291="","",VALUE(貼り付け用!$B$2&amp;"1日")+MOD(ROW(A290)-1,DAY(EOMONTH(貼り付け用!$B$2&amp;"1日",0))))</f>
        <v/>
      </c>
      <c r="G291" s="34"/>
      <c r="H291" s="44" t="str">
        <f ca="1">IF(A291&lt;&gt;"",OFFSET('まとめ（登園）'!$B$1,MATCH(CSVフォーム!A291,'まとめ（登園）'!$B:$B,0)-1,MATCH(DAY(F291),'まとめ（登園）'!$2:$2,0)-2),"")</f>
        <v/>
      </c>
      <c r="I291" s="44" t="str">
        <f ca="1">IF(A291&lt;&gt;"",OFFSET('まとめ（降園）'!$B$1,MATCH(CSVフォーム!A291,'まとめ（降園）'!$B:$B,0)-1,MATCH(DAY(F291),'まとめ（降園）'!$2:$2,0)-2),"")</f>
        <v/>
      </c>
    </row>
    <row r="292" spans="1:9" ht="17.399999999999999" customHeight="1" x14ac:dyDescent="0.5">
      <c r="A292" s="33" t="str">
        <f t="array" ref="A292">IFERROR(INDEX('まとめ（登園）'!$B$3:$B$500,INT((ROW(A291)-1)/DAY(EOMONTH(貼り付け用!$B$2&amp;"1日",0)))+1)&amp;"","")</f>
        <v/>
      </c>
      <c r="B292" s="33" t="str">
        <f>IF(A292&lt;&gt;"",VLOOKUP(A292,子どもマスタ!$A$1:$F$301,2,FALSE),"")</f>
        <v/>
      </c>
      <c r="C292" s="34" t="str">
        <f>IF(A292&lt;&gt;"",
TEXT(VALUE(REPLACE(VLOOKUP(A292,子どもマスタ!$A$1:$F$301,5,FALSE),
FIND("(",VLOOKUP(A292,子どもマスタ!$A$1:$F$301,5,FALSE)),
FIND(")",VLOOKUP(A292,子どもマスタ!$A$1:$F$301,5,FALSE))
-FIND("(",VLOOKUP(A292,子どもマスタ!$A$1:$F$301,5,FALSE))+1,"")),"yyyy/mm/dd"),"")</f>
        <v/>
      </c>
      <c r="D292" s="35"/>
      <c r="E292" s="36"/>
      <c r="F292" s="34" t="str">
        <f>IF(A292="","",VALUE(貼り付け用!$B$2&amp;"1日")+MOD(ROW(A291)-1,DAY(EOMONTH(貼り付け用!$B$2&amp;"1日",0))))</f>
        <v/>
      </c>
      <c r="G292" s="34"/>
      <c r="H292" s="44" t="str">
        <f ca="1">IF(A292&lt;&gt;"",OFFSET('まとめ（登園）'!$B$1,MATCH(CSVフォーム!A292,'まとめ（登園）'!$B:$B,0)-1,MATCH(DAY(F292),'まとめ（登園）'!$2:$2,0)-2),"")</f>
        <v/>
      </c>
      <c r="I292" s="44" t="str">
        <f ca="1">IF(A292&lt;&gt;"",OFFSET('まとめ（降園）'!$B$1,MATCH(CSVフォーム!A292,'まとめ（降園）'!$B:$B,0)-1,MATCH(DAY(F292),'まとめ（降園）'!$2:$2,0)-2),"")</f>
        <v/>
      </c>
    </row>
    <row r="293" spans="1:9" ht="17.399999999999999" customHeight="1" x14ac:dyDescent="0.5">
      <c r="A293" s="33" t="str">
        <f t="array" ref="A293">IFERROR(INDEX('まとめ（登園）'!$B$3:$B$500,INT((ROW(A292)-1)/DAY(EOMONTH(貼り付け用!$B$2&amp;"1日",0)))+1)&amp;"","")</f>
        <v/>
      </c>
      <c r="B293" s="33" t="str">
        <f>IF(A293&lt;&gt;"",VLOOKUP(A293,子どもマスタ!$A$1:$F$301,2,FALSE),"")</f>
        <v/>
      </c>
      <c r="C293" s="34" t="str">
        <f>IF(A293&lt;&gt;"",
TEXT(VALUE(REPLACE(VLOOKUP(A293,子どもマスタ!$A$1:$F$301,5,FALSE),
FIND("(",VLOOKUP(A293,子どもマスタ!$A$1:$F$301,5,FALSE)),
FIND(")",VLOOKUP(A293,子どもマスタ!$A$1:$F$301,5,FALSE))
-FIND("(",VLOOKUP(A293,子どもマスタ!$A$1:$F$301,5,FALSE))+1,"")),"yyyy/mm/dd"),"")</f>
        <v/>
      </c>
      <c r="D293" s="35"/>
      <c r="E293" s="36"/>
      <c r="F293" s="34" t="str">
        <f>IF(A293="","",VALUE(貼り付け用!$B$2&amp;"1日")+MOD(ROW(A292)-1,DAY(EOMONTH(貼り付け用!$B$2&amp;"1日",0))))</f>
        <v/>
      </c>
      <c r="G293" s="34"/>
      <c r="H293" s="44" t="str">
        <f ca="1">IF(A293&lt;&gt;"",OFFSET('まとめ（登園）'!$B$1,MATCH(CSVフォーム!A293,'まとめ（登園）'!$B:$B,0)-1,MATCH(DAY(F293),'まとめ（登園）'!$2:$2,0)-2),"")</f>
        <v/>
      </c>
      <c r="I293" s="44" t="str">
        <f ca="1">IF(A293&lt;&gt;"",OFFSET('まとめ（降園）'!$B$1,MATCH(CSVフォーム!A293,'まとめ（降園）'!$B:$B,0)-1,MATCH(DAY(F293),'まとめ（降園）'!$2:$2,0)-2),"")</f>
        <v/>
      </c>
    </row>
    <row r="294" spans="1:9" ht="17.399999999999999" customHeight="1" x14ac:dyDescent="0.5">
      <c r="A294" s="33" t="str">
        <f t="array" ref="A294">IFERROR(INDEX('まとめ（登園）'!$B$3:$B$500,INT((ROW(A293)-1)/DAY(EOMONTH(貼り付け用!$B$2&amp;"1日",0)))+1)&amp;"","")</f>
        <v/>
      </c>
      <c r="B294" s="33" t="str">
        <f>IF(A294&lt;&gt;"",VLOOKUP(A294,子どもマスタ!$A$1:$F$301,2,FALSE),"")</f>
        <v/>
      </c>
      <c r="C294" s="34" t="str">
        <f>IF(A294&lt;&gt;"",
TEXT(VALUE(REPLACE(VLOOKUP(A294,子どもマスタ!$A$1:$F$301,5,FALSE),
FIND("(",VLOOKUP(A294,子どもマスタ!$A$1:$F$301,5,FALSE)),
FIND(")",VLOOKUP(A294,子どもマスタ!$A$1:$F$301,5,FALSE))
-FIND("(",VLOOKUP(A294,子どもマスタ!$A$1:$F$301,5,FALSE))+1,"")),"yyyy/mm/dd"),"")</f>
        <v/>
      </c>
      <c r="D294" s="35"/>
      <c r="E294" s="36"/>
      <c r="F294" s="34" t="str">
        <f>IF(A294="","",VALUE(貼り付け用!$B$2&amp;"1日")+MOD(ROW(A293)-1,DAY(EOMONTH(貼り付け用!$B$2&amp;"1日",0))))</f>
        <v/>
      </c>
      <c r="G294" s="34"/>
      <c r="H294" s="44" t="str">
        <f ca="1">IF(A294&lt;&gt;"",OFFSET('まとめ（登園）'!$B$1,MATCH(CSVフォーム!A294,'まとめ（登園）'!$B:$B,0)-1,MATCH(DAY(F294),'まとめ（登園）'!$2:$2,0)-2),"")</f>
        <v/>
      </c>
      <c r="I294" s="44" t="str">
        <f ca="1">IF(A294&lt;&gt;"",OFFSET('まとめ（降園）'!$B$1,MATCH(CSVフォーム!A294,'まとめ（降園）'!$B:$B,0)-1,MATCH(DAY(F294),'まとめ（降園）'!$2:$2,0)-2),"")</f>
        <v/>
      </c>
    </row>
    <row r="295" spans="1:9" ht="17.399999999999999" customHeight="1" x14ac:dyDescent="0.5">
      <c r="A295" s="33" t="str">
        <f t="array" ref="A295">IFERROR(INDEX('まとめ（登園）'!$B$3:$B$500,INT((ROW(A294)-1)/DAY(EOMONTH(貼り付け用!$B$2&amp;"1日",0)))+1)&amp;"","")</f>
        <v/>
      </c>
      <c r="B295" s="33" t="str">
        <f>IF(A295&lt;&gt;"",VLOOKUP(A295,子どもマスタ!$A$1:$F$301,2,FALSE),"")</f>
        <v/>
      </c>
      <c r="C295" s="34" t="str">
        <f>IF(A295&lt;&gt;"",
TEXT(VALUE(REPLACE(VLOOKUP(A295,子どもマスタ!$A$1:$F$301,5,FALSE),
FIND("(",VLOOKUP(A295,子どもマスタ!$A$1:$F$301,5,FALSE)),
FIND(")",VLOOKUP(A295,子どもマスタ!$A$1:$F$301,5,FALSE))
-FIND("(",VLOOKUP(A295,子どもマスタ!$A$1:$F$301,5,FALSE))+1,"")),"yyyy/mm/dd"),"")</f>
        <v/>
      </c>
      <c r="D295" s="35"/>
      <c r="E295" s="36"/>
      <c r="F295" s="34" t="str">
        <f>IF(A295="","",VALUE(貼り付け用!$B$2&amp;"1日")+MOD(ROW(A294)-1,DAY(EOMONTH(貼り付け用!$B$2&amp;"1日",0))))</f>
        <v/>
      </c>
      <c r="G295" s="34"/>
      <c r="H295" s="44" t="str">
        <f ca="1">IF(A295&lt;&gt;"",OFFSET('まとめ（登園）'!$B$1,MATCH(CSVフォーム!A295,'まとめ（登園）'!$B:$B,0)-1,MATCH(DAY(F295),'まとめ（登園）'!$2:$2,0)-2),"")</f>
        <v/>
      </c>
      <c r="I295" s="44" t="str">
        <f ca="1">IF(A295&lt;&gt;"",OFFSET('まとめ（降園）'!$B$1,MATCH(CSVフォーム!A295,'まとめ（降園）'!$B:$B,0)-1,MATCH(DAY(F295),'まとめ（降園）'!$2:$2,0)-2),"")</f>
        <v/>
      </c>
    </row>
    <row r="296" spans="1:9" ht="17.399999999999999" customHeight="1" x14ac:dyDescent="0.5">
      <c r="A296" s="33" t="str">
        <f t="array" ref="A296">IFERROR(INDEX('まとめ（登園）'!$B$3:$B$500,INT((ROW(A295)-1)/DAY(EOMONTH(貼り付け用!$B$2&amp;"1日",0)))+1)&amp;"","")</f>
        <v/>
      </c>
      <c r="B296" s="33" t="str">
        <f>IF(A296&lt;&gt;"",VLOOKUP(A296,子どもマスタ!$A$1:$F$301,2,FALSE),"")</f>
        <v/>
      </c>
      <c r="C296" s="34" t="str">
        <f>IF(A296&lt;&gt;"",
TEXT(VALUE(REPLACE(VLOOKUP(A296,子どもマスタ!$A$1:$F$301,5,FALSE),
FIND("(",VLOOKUP(A296,子どもマスタ!$A$1:$F$301,5,FALSE)),
FIND(")",VLOOKUP(A296,子どもマスタ!$A$1:$F$301,5,FALSE))
-FIND("(",VLOOKUP(A296,子どもマスタ!$A$1:$F$301,5,FALSE))+1,"")),"yyyy/mm/dd"),"")</f>
        <v/>
      </c>
      <c r="D296" s="35"/>
      <c r="E296" s="36"/>
      <c r="F296" s="34" t="str">
        <f>IF(A296="","",VALUE(貼り付け用!$B$2&amp;"1日")+MOD(ROW(A295)-1,DAY(EOMONTH(貼り付け用!$B$2&amp;"1日",0))))</f>
        <v/>
      </c>
      <c r="G296" s="34"/>
      <c r="H296" s="44" t="str">
        <f ca="1">IF(A296&lt;&gt;"",OFFSET('まとめ（登園）'!$B$1,MATCH(CSVフォーム!A296,'まとめ（登園）'!$B:$B,0)-1,MATCH(DAY(F296),'まとめ（登園）'!$2:$2,0)-2),"")</f>
        <v/>
      </c>
      <c r="I296" s="44" t="str">
        <f ca="1">IF(A296&lt;&gt;"",OFFSET('まとめ（降園）'!$B$1,MATCH(CSVフォーム!A296,'まとめ（降園）'!$B:$B,0)-1,MATCH(DAY(F296),'まとめ（降園）'!$2:$2,0)-2),"")</f>
        <v/>
      </c>
    </row>
    <row r="297" spans="1:9" ht="17.399999999999999" customHeight="1" x14ac:dyDescent="0.5">
      <c r="A297" s="33" t="str">
        <f t="array" ref="A297">IFERROR(INDEX('まとめ（登園）'!$B$3:$B$500,INT((ROW(A296)-1)/DAY(EOMONTH(貼り付け用!$B$2&amp;"1日",0)))+1)&amp;"","")</f>
        <v/>
      </c>
      <c r="B297" s="33" t="str">
        <f>IF(A297&lt;&gt;"",VLOOKUP(A297,子どもマスタ!$A$1:$F$301,2,FALSE),"")</f>
        <v/>
      </c>
      <c r="C297" s="34" t="str">
        <f>IF(A297&lt;&gt;"",
TEXT(VALUE(REPLACE(VLOOKUP(A297,子どもマスタ!$A$1:$F$301,5,FALSE),
FIND("(",VLOOKUP(A297,子どもマスタ!$A$1:$F$301,5,FALSE)),
FIND(")",VLOOKUP(A297,子どもマスタ!$A$1:$F$301,5,FALSE))
-FIND("(",VLOOKUP(A297,子どもマスタ!$A$1:$F$301,5,FALSE))+1,"")),"yyyy/mm/dd"),"")</f>
        <v/>
      </c>
      <c r="D297" s="35"/>
      <c r="E297" s="36"/>
      <c r="F297" s="34" t="str">
        <f>IF(A297="","",VALUE(貼り付け用!$B$2&amp;"1日")+MOD(ROW(A296)-1,DAY(EOMONTH(貼り付け用!$B$2&amp;"1日",0))))</f>
        <v/>
      </c>
      <c r="G297" s="34"/>
      <c r="H297" s="44" t="str">
        <f ca="1">IF(A297&lt;&gt;"",OFFSET('まとめ（登園）'!$B$1,MATCH(CSVフォーム!A297,'まとめ（登園）'!$B:$B,0)-1,MATCH(DAY(F297),'まとめ（登園）'!$2:$2,0)-2),"")</f>
        <v/>
      </c>
      <c r="I297" s="44" t="str">
        <f ca="1">IF(A297&lt;&gt;"",OFFSET('まとめ（降園）'!$B$1,MATCH(CSVフォーム!A297,'まとめ（降園）'!$B:$B,0)-1,MATCH(DAY(F297),'まとめ（降園）'!$2:$2,0)-2),"")</f>
        <v/>
      </c>
    </row>
    <row r="298" spans="1:9" ht="17.399999999999999" customHeight="1" x14ac:dyDescent="0.5">
      <c r="A298" s="33" t="str">
        <f t="array" ref="A298">IFERROR(INDEX('まとめ（登園）'!$B$3:$B$500,INT((ROW(A297)-1)/DAY(EOMONTH(貼り付け用!$B$2&amp;"1日",0)))+1)&amp;"","")</f>
        <v/>
      </c>
      <c r="B298" s="33" t="str">
        <f>IF(A298&lt;&gt;"",VLOOKUP(A298,子どもマスタ!$A$1:$F$301,2,FALSE),"")</f>
        <v/>
      </c>
      <c r="C298" s="34" t="str">
        <f>IF(A298&lt;&gt;"",
TEXT(VALUE(REPLACE(VLOOKUP(A298,子どもマスタ!$A$1:$F$301,5,FALSE),
FIND("(",VLOOKUP(A298,子どもマスタ!$A$1:$F$301,5,FALSE)),
FIND(")",VLOOKUP(A298,子どもマスタ!$A$1:$F$301,5,FALSE))
-FIND("(",VLOOKUP(A298,子どもマスタ!$A$1:$F$301,5,FALSE))+1,"")),"yyyy/mm/dd"),"")</f>
        <v/>
      </c>
      <c r="D298" s="35"/>
      <c r="E298" s="36"/>
      <c r="F298" s="34" t="str">
        <f>IF(A298="","",VALUE(貼り付け用!$B$2&amp;"1日")+MOD(ROW(A297)-1,DAY(EOMONTH(貼り付け用!$B$2&amp;"1日",0))))</f>
        <v/>
      </c>
      <c r="G298" s="34"/>
      <c r="H298" s="44" t="str">
        <f ca="1">IF(A298&lt;&gt;"",OFFSET('まとめ（登園）'!$B$1,MATCH(CSVフォーム!A298,'まとめ（登園）'!$B:$B,0)-1,MATCH(DAY(F298),'まとめ（登園）'!$2:$2,0)-2),"")</f>
        <v/>
      </c>
      <c r="I298" s="44" t="str">
        <f ca="1">IF(A298&lt;&gt;"",OFFSET('まとめ（降園）'!$B$1,MATCH(CSVフォーム!A298,'まとめ（降園）'!$B:$B,0)-1,MATCH(DAY(F298),'まとめ（降園）'!$2:$2,0)-2),"")</f>
        <v/>
      </c>
    </row>
    <row r="299" spans="1:9" ht="17.399999999999999" customHeight="1" x14ac:dyDescent="0.5">
      <c r="A299" s="33" t="str">
        <f t="array" ref="A299">IFERROR(INDEX('まとめ（登園）'!$B$3:$B$500,INT((ROW(A298)-1)/DAY(EOMONTH(貼り付け用!$B$2&amp;"1日",0)))+1)&amp;"","")</f>
        <v/>
      </c>
      <c r="B299" s="33" t="str">
        <f>IF(A299&lt;&gt;"",VLOOKUP(A299,子どもマスタ!$A$1:$F$301,2,FALSE),"")</f>
        <v/>
      </c>
      <c r="C299" s="34" t="str">
        <f>IF(A299&lt;&gt;"",
TEXT(VALUE(REPLACE(VLOOKUP(A299,子どもマスタ!$A$1:$F$301,5,FALSE),
FIND("(",VLOOKUP(A299,子どもマスタ!$A$1:$F$301,5,FALSE)),
FIND(")",VLOOKUP(A299,子どもマスタ!$A$1:$F$301,5,FALSE))
-FIND("(",VLOOKUP(A299,子どもマスタ!$A$1:$F$301,5,FALSE))+1,"")),"yyyy/mm/dd"),"")</f>
        <v/>
      </c>
      <c r="D299" s="35"/>
      <c r="E299" s="36"/>
      <c r="F299" s="34" t="str">
        <f>IF(A299="","",VALUE(貼り付け用!$B$2&amp;"1日")+MOD(ROW(A298)-1,DAY(EOMONTH(貼り付け用!$B$2&amp;"1日",0))))</f>
        <v/>
      </c>
      <c r="G299" s="34"/>
      <c r="H299" s="44" t="str">
        <f ca="1">IF(A299&lt;&gt;"",OFFSET('まとめ（登園）'!$B$1,MATCH(CSVフォーム!A299,'まとめ（登園）'!$B:$B,0)-1,MATCH(DAY(F299),'まとめ（登園）'!$2:$2,0)-2),"")</f>
        <v/>
      </c>
      <c r="I299" s="44" t="str">
        <f ca="1">IF(A299&lt;&gt;"",OFFSET('まとめ（降園）'!$B$1,MATCH(CSVフォーム!A299,'まとめ（降園）'!$B:$B,0)-1,MATCH(DAY(F299),'まとめ（降園）'!$2:$2,0)-2),"")</f>
        <v/>
      </c>
    </row>
    <row r="300" spans="1:9" ht="17.399999999999999" customHeight="1" x14ac:dyDescent="0.5">
      <c r="A300" s="33" t="str">
        <f t="array" ref="A300">IFERROR(INDEX('まとめ（登園）'!$B$3:$B$500,INT((ROW(A299)-1)/DAY(EOMONTH(貼り付け用!$B$2&amp;"1日",0)))+1)&amp;"","")</f>
        <v/>
      </c>
      <c r="B300" s="33" t="str">
        <f>IF(A300&lt;&gt;"",VLOOKUP(A300,子どもマスタ!$A$1:$F$301,2,FALSE),"")</f>
        <v/>
      </c>
      <c r="C300" s="34" t="str">
        <f>IF(A300&lt;&gt;"",
TEXT(VALUE(REPLACE(VLOOKUP(A300,子どもマスタ!$A$1:$F$301,5,FALSE),
FIND("(",VLOOKUP(A300,子どもマスタ!$A$1:$F$301,5,FALSE)),
FIND(")",VLOOKUP(A300,子どもマスタ!$A$1:$F$301,5,FALSE))
-FIND("(",VLOOKUP(A300,子どもマスタ!$A$1:$F$301,5,FALSE))+1,"")),"yyyy/mm/dd"),"")</f>
        <v/>
      </c>
      <c r="D300" s="35"/>
      <c r="E300" s="36"/>
      <c r="F300" s="34" t="str">
        <f>IF(A300="","",VALUE(貼り付け用!$B$2&amp;"1日")+MOD(ROW(A299)-1,DAY(EOMONTH(貼り付け用!$B$2&amp;"1日",0))))</f>
        <v/>
      </c>
      <c r="G300" s="34"/>
      <c r="H300" s="44" t="str">
        <f ca="1">IF(A300&lt;&gt;"",OFFSET('まとめ（登園）'!$B$1,MATCH(CSVフォーム!A300,'まとめ（登園）'!$B:$B,0)-1,MATCH(DAY(F300),'まとめ（登園）'!$2:$2,0)-2),"")</f>
        <v/>
      </c>
      <c r="I300" s="44" t="str">
        <f ca="1">IF(A300&lt;&gt;"",OFFSET('まとめ（降園）'!$B$1,MATCH(CSVフォーム!A300,'まとめ（降園）'!$B:$B,0)-1,MATCH(DAY(F300),'まとめ（降園）'!$2:$2,0)-2),"")</f>
        <v/>
      </c>
    </row>
  </sheetData>
  <phoneticPr fontId="2"/>
  <dataValidations count="1">
    <dataValidation type="list" showInputMessage="1" showErrorMessage="1" sqref="G2:G300" xr:uid="{00000000-0002-0000-0400-000000000000}">
      <formula1>"病欠等,災害,都合"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貼り付け用</vt:lpstr>
      <vt:lpstr>子どもマスタ</vt:lpstr>
      <vt:lpstr>まとめ（登園）</vt:lpstr>
      <vt:lpstr>まとめ（降園）</vt:lpstr>
      <vt:lpstr>CSVフォーム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井﨑 優</cp:lastModifiedBy>
  <dcterms:created xsi:type="dcterms:W3CDTF">2006-09-16T00:00:00Z</dcterms:created>
  <dcterms:modified xsi:type="dcterms:W3CDTF">2025-11-19T09:30:05Z</dcterms:modified>
</cp:coreProperties>
</file>